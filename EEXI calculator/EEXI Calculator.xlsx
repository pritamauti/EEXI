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0" windowWidth="23760" windowHeight="11460"/>
  </bookViews>
  <sheets>
    <sheet name="EEXI Tanker" sheetId="1" r:id="rId1"/>
    <sheet name="EEXI Chemical Tanker" sheetId="23" r:id="rId2"/>
    <sheet name="EEXI LPG" sheetId="2" r:id="rId3"/>
    <sheet name="EEXI LNG" sheetId="17" r:id="rId4"/>
    <sheet name="EEXI VLCC" sheetId="18" r:id="rId5"/>
    <sheet name="GUIDANCE" sheetId="20" r:id="rId6"/>
    <sheet name="FORMULAS" sheetId="19" r:id="rId7"/>
  </sheets>
  <calcPr calcId="152511"/>
</workbook>
</file>

<file path=xl/calcChain.xml><?xml version="1.0" encoding="utf-8"?>
<calcChain xmlns="http://schemas.openxmlformats.org/spreadsheetml/2006/main">
  <c r="E51" i="18" l="1"/>
  <c r="F51" i="18" s="1"/>
  <c r="G51" i="18" s="1"/>
  <c r="H51" i="18" s="1"/>
  <c r="I51" i="18" s="1"/>
  <c r="J51" i="18" s="1"/>
  <c r="D51" i="18"/>
  <c r="D50" i="18"/>
  <c r="D52" i="18" s="1"/>
  <c r="E52" i="18" s="1"/>
  <c r="F52" i="18" s="1"/>
  <c r="G52" i="18" s="1"/>
  <c r="H52" i="18" s="1"/>
  <c r="I52" i="18" s="1"/>
  <c r="J52" i="18" s="1"/>
  <c r="E48" i="18"/>
  <c r="F48" i="18" s="1"/>
  <c r="G48" i="18" s="1"/>
  <c r="H48" i="18" s="1"/>
  <c r="I48" i="18" s="1"/>
  <c r="J48" i="18" s="1"/>
  <c r="D48" i="18"/>
  <c r="E47" i="18"/>
  <c r="F47" i="18" s="1"/>
  <c r="G47" i="18" s="1"/>
  <c r="H47" i="18" s="1"/>
  <c r="I47" i="18" s="1"/>
  <c r="J47" i="18" s="1"/>
  <c r="D47" i="18"/>
  <c r="D46" i="18"/>
  <c r="E46" i="18" s="1"/>
  <c r="F46" i="18" s="1"/>
  <c r="G46" i="18" s="1"/>
  <c r="H46" i="18" s="1"/>
  <c r="I46" i="18" s="1"/>
  <c r="J46" i="18" s="1"/>
  <c r="F45" i="18"/>
  <c r="D45" i="18"/>
  <c r="E45" i="18" s="1"/>
  <c r="E44" i="18"/>
  <c r="F44" i="18" s="1"/>
  <c r="G44" i="18" s="1"/>
  <c r="H44" i="18" s="1"/>
  <c r="I44" i="18" s="1"/>
  <c r="J44" i="18" s="1"/>
  <c r="D44" i="18"/>
  <c r="E43" i="18"/>
  <c r="F43" i="18" s="1"/>
  <c r="G43" i="18" s="1"/>
  <c r="H43" i="18" s="1"/>
  <c r="I43" i="18" s="1"/>
  <c r="J43" i="18" s="1"/>
  <c r="D43" i="18"/>
  <c r="D40" i="18"/>
  <c r="D39" i="18"/>
  <c r="E34" i="18"/>
  <c r="F34" i="18" s="1"/>
  <c r="G34" i="18" s="1"/>
  <c r="H34" i="18" s="1"/>
  <c r="I34" i="18" s="1"/>
  <c r="J34" i="18" s="1"/>
  <c r="D34" i="18"/>
  <c r="D42" i="18" s="1"/>
  <c r="E42" i="18" s="1"/>
  <c r="F42" i="18" s="1"/>
  <c r="G42" i="18" s="1"/>
  <c r="H42" i="18" s="1"/>
  <c r="I42" i="18" s="1"/>
  <c r="J42" i="18" s="1"/>
  <c r="G33" i="18"/>
  <c r="H33" i="18" s="1"/>
  <c r="I33" i="18" s="1"/>
  <c r="J33" i="18" s="1"/>
  <c r="D33" i="18"/>
  <c r="E33" i="18" s="1"/>
  <c r="F33" i="18" s="1"/>
  <c r="F32" i="18"/>
  <c r="G32" i="18" s="1"/>
  <c r="H32" i="18" s="1"/>
  <c r="I32" i="18" s="1"/>
  <c r="J32" i="18" s="1"/>
  <c r="E32" i="18"/>
  <c r="D32" i="18"/>
  <c r="C30" i="18"/>
  <c r="B30" i="18"/>
  <c r="D26" i="18"/>
  <c r="E26" i="18" s="1"/>
  <c r="F26" i="18" s="1"/>
  <c r="G26" i="18" s="1"/>
  <c r="H26" i="18" s="1"/>
  <c r="I26" i="18" s="1"/>
  <c r="J26" i="18" s="1"/>
  <c r="E25" i="18"/>
  <c r="F25" i="18" s="1"/>
  <c r="G25" i="18" s="1"/>
  <c r="H25" i="18" s="1"/>
  <c r="I25" i="18" s="1"/>
  <c r="J25" i="18" s="1"/>
  <c r="G24" i="18"/>
  <c r="H24" i="18" s="1"/>
  <c r="I24" i="18" s="1"/>
  <c r="J24" i="18" s="1"/>
  <c r="F24" i="18"/>
  <c r="E24" i="18"/>
  <c r="D24" i="18"/>
  <c r="E22" i="18"/>
  <c r="F22" i="18" s="1"/>
  <c r="G22" i="18" s="1"/>
  <c r="H22" i="18" s="1"/>
  <c r="I22" i="18" s="1"/>
  <c r="J22" i="18" s="1"/>
  <c r="F21" i="18"/>
  <c r="G21" i="18" s="1"/>
  <c r="H21" i="18" s="1"/>
  <c r="I21" i="18" s="1"/>
  <c r="J21" i="18" s="1"/>
  <c r="E21" i="18"/>
  <c r="G20" i="18"/>
  <c r="H20" i="18" s="1"/>
  <c r="I20" i="18" s="1"/>
  <c r="J20" i="18" s="1"/>
  <c r="E20" i="18"/>
  <c r="F20" i="18" s="1"/>
  <c r="E19" i="18"/>
  <c r="F19" i="18" s="1"/>
  <c r="E18" i="18"/>
  <c r="F18" i="18" s="1"/>
  <c r="G18" i="18" s="1"/>
  <c r="H18" i="18" s="1"/>
  <c r="I18" i="18" s="1"/>
  <c r="J18" i="18" s="1"/>
  <c r="E17" i="18"/>
  <c r="F17" i="18" s="1"/>
  <c r="G17" i="18" s="1"/>
  <c r="H17" i="18" s="1"/>
  <c r="I17" i="18" s="1"/>
  <c r="J17" i="18" s="1"/>
  <c r="D16" i="18"/>
  <c r="E16" i="18" s="1"/>
  <c r="F16" i="18" s="1"/>
  <c r="G16" i="18" s="1"/>
  <c r="H16" i="18" s="1"/>
  <c r="I16" i="18" s="1"/>
  <c r="J16" i="18" s="1"/>
  <c r="D15" i="18"/>
  <c r="I11" i="18"/>
  <c r="J11" i="18" s="1"/>
  <c r="E11" i="18"/>
  <c r="F11" i="18" s="1"/>
  <c r="G11" i="18" s="1"/>
  <c r="H11" i="18" s="1"/>
  <c r="E10" i="18"/>
  <c r="F10" i="18" s="1"/>
  <c r="G10" i="18" s="1"/>
  <c r="H10" i="18" s="1"/>
  <c r="I10" i="18" s="1"/>
  <c r="J10" i="18" s="1"/>
  <c r="D10" i="18"/>
  <c r="H9" i="18"/>
  <c r="I9" i="18" s="1"/>
  <c r="J9" i="18" s="1"/>
  <c r="E9" i="18"/>
  <c r="F9" i="18" s="1"/>
  <c r="G9" i="18" s="1"/>
  <c r="E51" i="17"/>
  <c r="F51" i="17" s="1"/>
  <c r="G51" i="17" s="1"/>
  <c r="H51" i="17" s="1"/>
  <c r="I51" i="17" s="1"/>
  <c r="J51" i="17" s="1"/>
  <c r="D51" i="17"/>
  <c r="F50" i="17"/>
  <c r="G50" i="17" s="1"/>
  <c r="H50" i="17" s="1"/>
  <c r="I50" i="17" s="1"/>
  <c r="J50" i="17" s="1"/>
  <c r="D50" i="17"/>
  <c r="E50" i="17" s="1"/>
  <c r="E48" i="17"/>
  <c r="F48" i="17" s="1"/>
  <c r="G48" i="17" s="1"/>
  <c r="H48" i="17" s="1"/>
  <c r="I48" i="17" s="1"/>
  <c r="J48" i="17" s="1"/>
  <c r="D48" i="17"/>
  <c r="E47" i="17"/>
  <c r="F47" i="17" s="1"/>
  <c r="G47" i="17" s="1"/>
  <c r="H47" i="17" s="1"/>
  <c r="I47" i="17" s="1"/>
  <c r="J47" i="17" s="1"/>
  <c r="D47" i="17"/>
  <c r="H46" i="17"/>
  <c r="I46" i="17" s="1"/>
  <c r="J46" i="17" s="1"/>
  <c r="F46" i="17"/>
  <c r="G46" i="17" s="1"/>
  <c r="D46" i="17"/>
  <c r="E46" i="17" s="1"/>
  <c r="E45" i="17"/>
  <c r="D45" i="17"/>
  <c r="E44" i="17"/>
  <c r="F44" i="17" s="1"/>
  <c r="G44" i="17" s="1"/>
  <c r="H44" i="17" s="1"/>
  <c r="I44" i="17" s="1"/>
  <c r="J44" i="17" s="1"/>
  <c r="D44" i="17"/>
  <c r="G43" i="17"/>
  <c r="H43" i="17" s="1"/>
  <c r="I43" i="17" s="1"/>
  <c r="J43" i="17" s="1"/>
  <c r="D43" i="17"/>
  <c r="E43" i="17" s="1"/>
  <c r="F43" i="17" s="1"/>
  <c r="D39" i="17"/>
  <c r="D34" i="17"/>
  <c r="E32" i="17"/>
  <c r="F32" i="17" s="1"/>
  <c r="G32" i="17" s="1"/>
  <c r="H32" i="17" s="1"/>
  <c r="I32" i="17" s="1"/>
  <c r="J32" i="17" s="1"/>
  <c r="D32" i="17"/>
  <c r="C30" i="17"/>
  <c r="B30" i="17"/>
  <c r="J26" i="17"/>
  <c r="E26" i="17"/>
  <c r="F26" i="17" s="1"/>
  <c r="G26" i="17" s="1"/>
  <c r="H26" i="17" s="1"/>
  <c r="I26" i="17" s="1"/>
  <c r="D26" i="17"/>
  <c r="G25" i="17"/>
  <c r="H25" i="17" s="1"/>
  <c r="I25" i="17" s="1"/>
  <c r="J25" i="17" s="1"/>
  <c r="E25" i="17"/>
  <c r="F25" i="17" s="1"/>
  <c r="E24" i="17"/>
  <c r="F24" i="17" s="1"/>
  <c r="G24" i="17" s="1"/>
  <c r="H24" i="17" s="1"/>
  <c r="I24" i="17" s="1"/>
  <c r="J24" i="17" s="1"/>
  <c r="D24" i="17"/>
  <c r="G22" i="17"/>
  <c r="H22" i="17" s="1"/>
  <c r="I22" i="17" s="1"/>
  <c r="J22" i="17" s="1"/>
  <c r="E22" i="17"/>
  <c r="F22" i="17" s="1"/>
  <c r="G21" i="17"/>
  <c r="H21" i="17" s="1"/>
  <c r="I21" i="17" s="1"/>
  <c r="J21" i="17" s="1"/>
  <c r="E21" i="17"/>
  <c r="F21" i="17" s="1"/>
  <c r="H20" i="17"/>
  <c r="I20" i="17" s="1"/>
  <c r="J20" i="17" s="1"/>
  <c r="E20" i="17"/>
  <c r="F20" i="17" s="1"/>
  <c r="G20" i="17" s="1"/>
  <c r="E19" i="17"/>
  <c r="F19" i="17" s="1"/>
  <c r="G18" i="17"/>
  <c r="H18" i="17" s="1"/>
  <c r="I18" i="17" s="1"/>
  <c r="J18" i="17" s="1"/>
  <c r="E18" i="17"/>
  <c r="F18" i="17" s="1"/>
  <c r="I17" i="17"/>
  <c r="J17" i="17" s="1"/>
  <c r="E17" i="17"/>
  <c r="F17" i="17" s="1"/>
  <c r="G17" i="17" s="1"/>
  <c r="H17" i="17" s="1"/>
  <c r="G16" i="17"/>
  <c r="H16" i="17" s="1"/>
  <c r="I16" i="17" s="1"/>
  <c r="J16" i="17" s="1"/>
  <c r="E16" i="17"/>
  <c r="F16" i="17" s="1"/>
  <c r="D16" i="17"/>
  <c r="D15" i="17"/>
  <c r="D23" i="17" s="1"/>
  <c r="E11" i="17"/>
  <c r="F11" i="17" s="1"/>
  <c r="G11" i="17" s="1"/>
  <c r="H11" i="17" s="1"/>
  <c r="I11" i="17" s="1"/>
  <c r="J11" i="17" s="1"/>
  <c r="E10" i="17"/>
  <c r="F10" i="17" s="1"/>
  <c r="G10" i="17" s="1"/>
  <c r="H10" i="17" s="1"/>
  <c r="I10" i="17" s="1"/>
  <c r="J10" i="17" s="1"/>
  <c r="D10" i="17"/>
  <c r="D33" i="17" s="1"/>
  <c r="E33" i="17" s="1"/>
  <c r="F33" i="17" s="1"/>
  <c r="G33" i="17" s="1"/>
  <c r="H33" i="17" s="1"/>
  <c r="I33" i="17" s="1"/>
  <c r="J33" i="17" s="1"/>
  <c r="H9" i="17"/>
  <c r="I9" i="17" s="1"/>
  <c r="J9" i="17" s="1"/>
  <c r="F9" i="17"/>
  <c r="G9" i="17" s="1"/>
  <c r="E9" i="17"/>
  <c r="E51" i="2"/>
  <c r="F51" i="2" s="1"/>
  <c r="G51" i="2" s="1"/>
  <c r="H51" i="2" s="1"/>
  <c r="I51" i="2" s="1"/>
  <c r="J51" i="2" s="1"/>
  <c r="D51" i="2"/>
  <c r="H48" i="2"/>
  <c r="I48" i="2" s="1"/>
  <c r="J48" i="2" s="1"/>
  <c r="D48" i="2"/>
  <c r="E48" i="2" s="1"/>
  <c r="F48" i="2" s="1"/>
  <c r="G48" i="2" s="1"/>
  <c r="G47" i="2"/>
  <c r="H47" i="2" s="1"/>
  <c r="I47" i="2" s="1"/>
  <c r="J47" i="2" s="1"/>
  <c r="E47" i="2"/>
  <c r="F47" i="2" s="1"/>
  <c r="D47" i="2"/>
  <c r="F46" i="2"/>
  <c r="G46" i="2" s="1"/>
  <c r="H46" i="2" s="1"/>
  <c r="I46" i="2" s="1"/>
  <c r="J46" i="2" s="1"/>
  <c r="D46" i="2"/>
  <c r="E46" i="2" s="1"/>
  <c r="E45" i="2"/>
  <c r="F45" i="2" s="1"/>
  <c r="D45" i="2"/>
  <c r="D44" i="2"/>
  <c r="E44" i="2" s="1"/>
  <c r="F44" i="2" s="1"/>
  <c r="G44" i="2" s="1"/>
  <c r="H44" i="2" s="1"/>
  <c r="I44" i="2" s="1"/>
  <c r="J44" i="2" s="1"/>
  <c r="E43" i="2"/>
  <c r="F43" i="2" s="1"/>
  <c r="G43" i="2" s="1"/>
  <c r="H43" i="2" s="1"/>
  <c r="I43" i="2" s="1"/>
  <c r="J43" i="2" s="1"/>
  <c r="D43" i="2"/>
  <c r="D34" i="2"/>
  <c r="D32" i="2"/>
  <c r="C30" i="2"/>
  <c r="B30" i="2"/>
  <c r="H25" i="2"/>
  <c r="I25" i="2" s="1"/>
  <c r="J25" i="2" s="1"/>
  <c r="F25" i="2"/>
  <c r="G25" i="2" s="1"/>
  <c r="E25" i="2"/>
  <c r="D24" i="2"/>
  <c r="F22" i="2"/>
  <c r="G22" i="2" s="1"/>
  <c r="H22" i="2" s="1"/>
  <c r="I22" i="2" s="1"/>
  <c r="J22" i="2" s="1"/>
  <c r="E22" i="2"/>
  <c r="F21" i="2"/>
  <c r="G21" i="2" s="1"/>
  <c r="H21" i="2" s="1"/>
  <c r="I21" i="2" s="1"/>
  <c r="J21" i="2" s="1"/>
  <c r="E21" i="2"/>
  <c r="F20" i="2"/>
  <c r="G20" i="2" s="1"/>
  <c r="H20" i="2" s="1"/>
  <c r="I20" i="2" s="1"/>
  <c r="J20" i="2" s="1"/>
  <c r="E20" i="2"/>
  <c r="F19" i="2"/>
  <c r="E19" i="2"/>
  <c r="F18" i="2"/>
  <c r="G18" i="2" s="1"/>
  <c r="H18" i="2" s="1"/>
  <c r="I18" i="2" s="1"/>
  <c r="J18" i="2" s="1"/>
  <c r="E18" i="2"/>
  <c r="F17" i="2"/>
  <c r="G17" i="2" s="1"/>
  <c r="H17" i="2" s="1"/>
  <c r="I17" i="2" s="1"/>
  <c r="J17" i="2" s="1"/>
  <c r="E17" i="2"/>
  <c r="F16" i="2"/>
  <c r="G16" i="2" s="1"/>
  <c r="H16" i="2" s="1"/>
  <c r="I16" i="2" s="1"/>
  <c r="J16" i="2" s="1"/>
  <c r="D16" i="2"/>
  <c r="E16" i="2" s="1"/>
  <c r="D15" i="2"/>
  <c r="H11" i="2"/>
  <c r="I11" i="2" s="1"/>
  <c r="J11" i="2" s="1"/>
  <c r="F11" i="2"/>
  <c r="G11" i="2" s="1"/>
  <c r="E11" i="2"/>
  <c r="D10" i="2"/>
  <c r="G9" i="2"/>
  <c r="H9" i="2" s="1"/>
  <c r="I9" i="2" s="1"/>
  <c r="J9" i="2" s="1"/>
  <c r="E9" i="2"/>
  <c r="F9" i="2" s="1"/>
  <c r="J51" i="23"/>
  <c r="H51" i="23"/>
  <c r="I51" i="23" s="1"/>
  <c r="F51" i="23"/>
  <c r="G51" i="23" s="1"/>
  <c r="D51" i="23"/>
  <c r="E51" i="23" s="1"/>
  <c r="I50" i="23"/>
  <c r="J50" i="23" s="1"/>
  <c r="G50" i="23"/>
  <c r="H50" i="23" s="1"/>
  <c r="E50" i="23"/>
  <c r="F50" i="23" s="1"/>
  <c r="D50" i="23"/>
  <c r="D52" i="23" s="1"/>
  <c r="E52" i="23" s="1"/>
  <c r="F52" i="23" s="1"/>
  <c r="G52" i="23" s="1"/>
  <c r="H52" i="23" s="1"/>
  <c r="I52" i="23" s="1"/>
  <c r="J52" i="23" s="1"/>
  <c r="I48" i="23"/>
  <c r="J48" i="23" s="1"/>
  <c r="G48" i="23"/>
  <c r="H48" i="23" s="1"/>
  <c r="E48" i="23"/>
  <c r="F48" i="23" s="1"/>
  <c r="D48" i="23"/>
  <c r="J47" i="23"/>
  <c r="D47" i="23"/>
  <c r="E47" i="23" s="1"/>
  <c r="F47" i="23" s="1"/>
  <c r="G47" i="23" s="1"/>
  <c r="H47" i="23" s="1"/>
  <c r="I47" i="23" s="1"/>
  <c r="E46" i="23"/>
  <c r="F46" i="23" s="1"/>
  <c r="G46" i="23" s="1"/>
  <c r="H46" i="23" s="1"/>
  <c r="I46" i="23" s="1"/>
  <c r="J46" i="23" s="1"/>
  <c r="D46" i="23"/>
  <c r="G45" i="23"/>
  <c r="F45" i="23"/>
  <c r="D45" i="23"/>
  <c r="E45" i="23" s="1"/>
  <c r="I44" i="23"/>
  <c r="J44" i="23" s="1"/>
  <c r="G44" i="23"/>
  <c r="H44" i="23" s="1"/>
  <c r="F44" i="23"/>
  <c r="E44" i="23"/>
  <c r="D44" i="23"/>
  <c r="F43" i="23"/>
  <c r="G43" i="23" s="1"/>
  <c r="H43" i="23" s="1"/>
  <c r="I43" i="23" s="1"/>
  <c r="J43" i="23" s="1"/>
  <c r="E43" i="23"/>
  <c r="D43" i="23"/>
  <c r="H42" i="23"/>
  <c r="I42" i="23" s="1"/>
  <c r="J42" i="23" s="1"/>
  <c r="D41" i="23"/>
  <c r="D40" i="23"/>
  <c r="D39" i="23"/>
  <c r="G34" i="23"/>
  <c r="H34" i="23" s="1"/>
  <c r="I34" i="23" s="1"/>
  <c r="J34" i="23" s="1"/>
  <c r="E34" i="23"/>
  <c r="F34" i="23" s="1"/>
  <c r="D34" i="23"/>
  <c r="D42" i="23" s="1"/>
  <c r="E42" i="23" s="1"/>
  <c r="F42" i="23" s="1"/>
  <c r="G42" i="23" s="1"/>
  <c r="H33" i="23"/>
  <c r="I33" i="23" s="1"/>
  <c r="J33" i="23" s="1"/>
  <c r="J32" i="23"/>
  <c r="E32" i="23"/>
  <c r="F32" i="23" s="1"/>
  <c r="G32" i="23" s="1"/>
  <c r="H32" i="23" s="1"/>
  <c r="I32" i="23" s="1"/>
  <c r="D32" i="23"/>
  <c r="C30" i="23"/>
  <c r="B30" i="23"/>
  <c r="H26" i="23"/>
  <c r="I26" i="23" s="1"/>
  <c r="J26" i="23" s="1"/>
  <c r="F26" i="23"/>
  <c r="G26" i="23" s="1"/>
  <c r="E26" i="23"/>
  <c r="D26" i="23"/>
  <c r="I25" i="23"/>
  <c r="J25" i="23" s="1"/>
  <c r="H25" i="23"/>
  <c r="G25" i="23"/>
  <c r="E25" i="23"/>
  <c r="F25" i="23" s="1"/>
  <c r="J24" i="23"/>
  <c r="E24" i="23"/>
  <c r="F24" i="23" s="1"/>
  <c r="G24" i="23" s="1"/>
  <c r="H24" i="23" s="1"/>
  <c r="I24" i="23" s="1"/>
  <c r="D24" i="23"/>
  <c r="I22" i="23"/>
  <c r="J22" i="23" s="1"/>
  <c r="H22" i="23"/>
  <c r="G22" i="23"/>
  <c r="E22" i="23"/>
  <c r="F22" i="23" s="1"/>
  <c r="J21" i="23"/>
  <c r="E21" i="23"/>
  <c r="F21" i="23" s="1"/>
  <c r="G21" i="23" s="1"/>
  <c r="H21" i="23" s="1"/>
  <c r="I21" i="23" s="1"/>
  <c r="E20" i="23"/>
  <c r="F20" i="23" s="1"/>
  <c r="G20" i="23" s="1"/>
  <c r="H20" i="23" s="1"/>
  <c r="I20" i="23" s="1"/>
  <c r="J20" i="23" s="1"/>
  <c r="F19" i="23"/>
  <c r="E19" i="23"/>
  <c r="H18" i="23"/>
  <c r="I18" i="23" s="1"/>
  <c r="J18" i="23" s="1"/>
  <c r="G18" i="23"/>
  <c r="F18" i="23"/>
  <c r="E18" i="23"/>
  <c r="F17" i="23"/>
  <c r="G17" i="23" s="1"/>
  <c r="H17" i="23" s="1"/>
  <c r="I17" i="23" s="1"/>
  <c r="J17" i="23" s="1"/>
  <c r="E17" i="23"/>
  <c r="H16" i="23"/>
  <c r="I16" i="23" s="1"/>
  <c r="J16" i="23" s="1"/>
  <c r="D16" i="23"/>
  <c r="E16" i="23" s="1"/>
  <c r="F16" i="23" s="1"/>
  <c r="G16" i="23" s="1"/>
  <c r="D15" i="23"/>
  <c r="D23" i="23" s="1"/>
  <c r="D27" i="23" s="1"/>
  <c r="E15" i="23" s="1"/>
  <c r="H11" i="23"/>
  <c r="I11" i="23" s="1"/>
  <c r="J11" i="23" s="1"/>
  <c r="G11" i="23"/>
  <c r="F11" i="23"/>
  <c r="E11" i="23"/>
  <c r="F10" i="23"/>
  <c r="G10" i="23" s="1"/>
  <c r="H10" i="23" s="1"/>
  <c r="I10" i="23" s="1"/>
  <c r="J10" i="23" s="1"/>
  <c r="E10" i="23"/>
  <c r="D10" i="23"/>
  <c r="D33" i="23" s="1"/>
  <c r="E33" i="23" s="1"/>
  <c r="F33" i="23" s="1"/>
  <c r="G33" i="23" s="1"/>
  <c r="H9" i="23"/>
  <c r="I9" i="23" s="1"/>
  <c r="J9" i="23" s="1"/>
  <c r="E9" i="23"/>
  <c r="F9" i="23" s="1"/>
  <c r="G9" i="23" s="1"/>
  <c r="D52" i="1"/>
  <c r="E52" i="1" s="1"/>
  <c r="F52" i="1" s="1"/>
  <c r="G52" i="1" s="1"/>
  <c r="H52" i="1" s="1"/>
  <c r="I52" i="1" s="1"/>
  <c r="J52" i="1" s="1"/>
  <c r="H51" i="1"/>
  <c r="I51" i="1" s="1"/>
  <c r="J51" i="1" s="1"/>
  <c r="G51" i="1"/>
  <c r="D51" i="1"/>
  <c r="E51" i="1" s="1"/>
  <c r="F51" i="1" s="1"/>
  <c r="F48" i="1"/>
  <c r="G48" i="1" s="1"/>
  <c r="H48" i="1" s="1"/>
  <c r="I48" i="1" s="1"/>
  <c r="J48" i="1" s="1"/>
  <c r="E48" i="1"/>
  <c r="D48" i="1"/>
  <c r="E47" i="1"/>
  <c r="F47" i="1" s="1"/>
  <c r="G47" i="1" s="1"/>
  <c r="H47" i="1" s="1"/>
  <c r="I47" i="1" s="1"/>
  <c r="J47" i="1" s="1"/>
  <c r="D47" i="1"/>
  <c r="D46" i="1"/>
  <c r="E46" i="1" s="1"/>
  <c r="F46" i="1" s="1"/>
  <c r="G46" i="1" s="1"/>
  <c r="H46" i="1" s="1"/>
  <c r="I46" i="1" s="1"/>
  <c r="J46" i="1" s="1"/>
  <c r="D45" i="1"/>
  <c r="E45" i="1" s="1"/>
  <c r="F44" i="1"/>
  <c r="G44" i="1" s="1"/>
  <c r="H44" i="1" s="1"/>
  <c r="I44" i="1" s="1"/>
  <c r="J44" i="1" s="1"/>
  <c r="E44" i="1"/>
  <c r="D44" i="1"/>
  <c r="E43" i="1"/>
  <c r="F43" i="1" s="1"/>
  <c r="G43" i="1" s="1"/>
  <c r="H43" i="1" s="1"/>
  <c r="I43" i="1" s="1"/>
  <c r="J43" i="1" s="1"/>
  <c r="D43" i="1"/>
  <c r="D40" i="1"/>
  <c r="D39" i="1"/>
  <c r="D34" i="1"/>
  <c r="F32" i="1"/>
  <c r="G32" i="1" s="1"/>
  <c r="H32" i="1" s="1"/>
  <c r="I32" i="1" s="1"/>
  <c r="J32" i="1" s="1"/>
  <c r="E32" i="1"/>
  <c r="D32" i="1"/>
  <c r="D50" i="1" s="1"/>
  <c r="E50" i="1" s="1"/>
  <c r="F50" i="1" s="1"/>
  <c r="G50" i="1" s="1"/>
  <c r="H50" i="1" s="1"/>
  <c r="I50" i="1" s="1"/>
  <c r="J50" i="1" s="1"/>
  <c r="C30" i="1"/>
  <c r="B30" i="1"/>
  <c r="E26" i="1"/>
  <c r="F26" i="1" s="1"/>
  <c r="G26" i="1" s="1"/>
  <c r="H26" i="1" s="1"/>
  <c r="I26" i="1" s="1"/>
  <c r="J26" i="1" s="1"/>
  <c r="D26" i="1"/>
  <c r="E25" i="1"/>
  <c r="F25" i="1" s="1"/>
  <c r="G25" i="1" s="1"/>
  <c r="H25" i="1" s="1"/>
  <c r="I25" i="1" s="1"/>
  <c r="J25" i="1" s="1"/>
  <c r="F24" i="1"/>
  <c r="G24" i="1" s="1"/>
  <c r="H24" i="1" s="1"/>
  <c r="I24" i="1" s="1"/>
  <c r="J24" i="1" s="1"/>
  <c r="E24" i="1"/>
  <c r="D24" i="1"/>
  <c r="E22" i="1"/>
  <c r="F22" i="1" s="1"/>
  <c r="G22" i="1" s="1"/>
  <c r="H22" i="1" s="1"/>
  <c r="I22" i="1" s="1"/>
  <c r="J22" i="1" s="1"/>
  <c r="F21" i="1"/>
  <c r="G21" i="1" s="1"/>
  <c r="H21" i="1" s="1"/>
  <c r="I21" i="1" s="1"/>
  <c r="J21" i="1" s="1"/>
  <c r="E21" i="1"/>
  <c r="E20" i="1"/>
  <c r="F20" i="1" s="1"/>
  <c r="G20" i="1" s="1"/>
  <c r="H20" i="1" s="1"/>
  <c r="I20" i="1" s="1"/>
  <c r="J20" i="1" s="1"/>
  <c r="F19" i="1"/>
  <c r="E19" i="1"/>
  <c r="E18" i="1"/>
  <c r="F18" i="1" s="1"/>
  <c r="G18" i="1" s="1"/>
  <c r="H18" i="1" s="1"/>
  <c r="I18" i="1" s="1"/>
  <c r="J18" i="1" s="1"/>
  <c r="F17" i="1"/>
  <c r="G17" i="1" s="1"/>
  <c r="H17" i="1" s="1"/>
  <c r="I17" i="1" s="1"/>
  <c r="J17" i="1" s="1"/>
  <c r="E17" i="1"/>
  <c r="D16" i="1"/>
  <c r="E16" i="1" s="1"/>
  <c r="F16" i="1" s="1"/>
  <c r="G16" i="1" s="1"/>
  <c r="H16" i="1" s="1"/>
  <c r="I16" i="1" s="1"/>
  <c r="J16" i="1" s="1"/>
  <c r="D15" i="1"/>
  <c r="D23" i="1" s="1"/>
  <c r="E11" i="1"/>
  <c r="F11" i="1" s="1"/>
  <c r="G11" i="1" s="1"/>
  <c r="H11" i="1" s="1"/>
  <c r="I11" i="1" s="1"/>
  <c r="J11" i="1" s="1"/>
  <c r="F10" i="1"/>
  <c r="G10" i="1" s="1"/>
  <c r="H10" i="1" s="1"/>
  <c r="I10" i="1" s="1"/>
  <c r="J10" i="1" s="1"/>
  <c r="E10" i="1"/>
  <c r="D10" i="1"/>
  <c r="D33" i="1" s="1"/>
  <c r="E33" i="1" s="1"/>
  <c r="F33" i="1" s="1"/>
  <c r="G33" i="1" s="1"/>
  <c r="H33" i="1" s="1"/>
  <c r="I33" i="1" s="1"/>
  <c r="J33" i="1" s="1"/>
  <c r="E9" i="1"/>
  <c r="F9" i="1" s="1"/>
  <c r="G9" i="1" s="1"/>
  <c r="H9" i="1" s="1"/>
  <c r="I9" i="1" s="1"/>
  <c r="J9" i="1" s="1"/>
  <c r="D27" i="1" l="1"/>
  <c r="E15" i="1" s="1"/>
  <c r="D28" i="1"/>
  <c r="D37" i="1"/>
  <c r="F45" i="1"/>
  <c r="D38" i="1"/>
  <c r="G19" i="23"/>
  <c r="G19" i="1"/>
  <c r="E34" i="1"/>
  <c r="F34" i="1" s="1"/>
  <c r="G34" i="1" s="1"/>
  <c r="H34" i="1" s="1"/>
  <c r="I34" i="1" s="1"/>
  <c r="J34" i="1" s="1"/>
  <c r="D41" i="1"/>
  <c r="D49" i="1" s="1"/>
  <c r="D28" i="23"/>
  <c r="G19" i="2"/>
  <c r="E14" i="23"/>
  <c r="E12" i="23"/>
  <c r="E13" i="23"/>
  <c r="D37" i="23"/>
  <c r="D38" i="23" s="1"/>
  <c r="D40" i="17"/>
  <c r="D38" i="17" s="1"/>
  <c r="D42" i="1"/>
  <c r="E42" i="1" s="1"/>
  <c r="F42" i="1" s="1"/>
  <c r="G42" i="1" s="1"/>
  <c r="H42" i="1" s="1"/>
  <c r="I42" i="1" s="1"/>
  <c r="J42" i="1" s="1"/>
  <c r="E23" i="23"/>
  <c r="H45" i="23"/>
  <c r="D41" i="2"/>
  <c r="E34" i="2"/>
  <c r="F34" i="2" s="1"/>
  <c r="G34" i="2" s="1"/>
  <c r="H34" i="2" s="1"/>
  <c r="I34" i="2" s="1"/>
  <c r="J34" i="2" s="1"/>
  <c r="D42" i="2"/>
  <c r="E42" i="2" s="1"/>
  <c r="F42" i="2" s="1"/>
  <c r="G42" i="2" s="1"/>
  <c r="H42" i="2" s="1"/>
  <c r="I42" i="2" s="1"/>
  <c r="J42" i="2" s="1"/>
  <c r="G19" i="17"/>
  <c r="E10" i="2"/>
  <c r="F10" i="2" s="1"/>
  <c r="G10" i="2" s="1"/>
  <c r="H10" i="2" s="1"/>
  <c r="I10" i="2" s="1"/>
  <c r="J10" i="2" s="1"/>
  <c r="D33" i="2"/>
  <c r="E33" i="2" s="1"/>
  <c r="F33" i="2" s="1"/>
  <c r="G33" i="2" s="1"/>
  <c r="H33" i="2" s="1"/>
  <c r="I33" i="2" s="1"/>
  <c r="J33" i="2" s="1"/>
  <c r="D26" i="2"/>
  <c r="E26" i="2" s="1"/>
  <c r="F26" i="2" s="1"/>
  <c r="G26" i="2" s="1"/>
  <c r="H26" i="2" s="1"/>
  <c r="I26" i="2" s="1"/>
  <c r="J26" i="2" s="1"/>
  <c r="E24" i="2"/>
  <c r="F24" i="2" s="1"/>
  <c r="G24" i="2" s="1"/>
  <c r="H24" i="2" s="1"/>
  <c r="I24" i="2" s="1"/>
  <c r="J24" i="2" s="1"/>
  <c r="D39" i="2"/>
  <c r="E32" i="2"/>
  <c r="F32" i="2" s="1"/>
  <c r="G32" i="2" s="1"/>
  <c r="H32" i="2" s="1"/>
  <c r="I32" i="2" s="1"/>
  <c r="J32" i="2" s="1"/>
  <c r="D50" i="2"/>
  <c r="D23" i="2"/>
  <c r="G45" i="2"/>
  <c r="D27" i="17"/>
  <c r="E15" i="17" s="1"/>
  <c r="D28" i="17"/>
  <c r="E34" i="17"/>
  <c r="F34" i="17" s="1"/>
  <c r="G34" i="17" s="1"/>
  <c r="H34" i="17" s="1"/>
  <c r="I34" i="17" s="1"/>
  <c r="J34" i="17" s="1"/>
  <c r="D42" i="17"/>
  <c r="E42" i="17" s="1"/>
  <c r="F42" i="17" s="1"/>
  <c r="G42" i="17" s="1"/>
  <c r="H42" i="17" s="1"/>
  <c r="I42" i="17" s="1"/>
  <c r="J42" i="17" s="1"/>
  <c r="D41" i="17"/>
  <c r="D37" i="17"/>
  <c r="D23" i="18"/>
  <c r="G19" i="18"/>
  <c r="F45" i="17"/>
  <c r="D52" i="17"/>
  <c r="E52" i="17" s="1"/>
  <c r="F52" i="17" s="1"/>
  <c r="G52" i="17" s="1"/>
  <c r="H52" i="17" s="1"/>
  <c r="I52" i="17" s="1"/>
  <c r="J52" i="17" s="1"/>
  <c r="D37" i="18"/>
  <c r="D38" i="18" s="1"/>
  <c r="D41" i="18"/>
  <c r="G45" i="18"/>
  <c r="E50" i="18"/>
  <c r="F50" i="18" s="1"/>
  <c r="G50" i="18" s="1"/>
  <c r="H50" i="18" s="1"/>
  <c r="I50" i="18" s="1"/>
  <c r="J50" i="18" s="1"/>
  <c r="D49" i="17" l="1"/>
  <c r="D49" i="23"/>
  <c r="D49" i="18"/>
  <c r="D53" i="1"/>
  <c r="E41" i="1" s="1"/>
  <c r="D54" i="1"/>
  <c r="H45" i="18"/>
  <c r="G45" i="1"/>
  <c r="G45" i="17"/>
  <c r="D28" i="2"/>
  <c r="D27" i="2"/>
  <c r="E15" i="2" s="1"/>
  <c r="D40" i="2"/>
  <c r="H19" i="2"/>
  <c r="D27" i="18"/>
  <c r="E15" i="18" s="1"/>
  <c r="D28" i="18"/>
  <c r="E13" i="17"/>
  <c r="E12" i="17"/>
  <c r="E14" i="17"/>
  <c r="D37" i="2"/>
  <c r="D38" i="2" s="1"/>
  <c r="E28" i="23"/>
  <c r="E27" i="23"/>
  <c r="F15" i="23" s="1"/>
  <c r="H19" i="1"/>
  <c r="E38" i="1"/>
  <c r="H19" i="17"/>
  <c r="I45" i="23"/>
  <c r="H19" i="18"/>
  <c r="H45" i="2"/>
  <c r="E50" i="2"/>
  <c r="F50" i="2" s="1"/>
  <c r="G50" i="2" s="1"/>
  <c r="H50" i="2" s="1"/>
  <c r="I50" i="2" s="1"/>
  <c r="J50" i="2" s="1"/>
  <c r="D52" i="2"/>
  <c r="E52" i="2" s="1"/>
  <c r="F52" i="2" s="1"/>
  <c r="G52" i="2" s="1"/>
  <c r="H52" i="2" s="1"/>
  <c r="I52" i="2" s="1"/>
  <c r="J52" i="2" s="1"/>
  <c r="E23" i="17"/>
  <c r="F14" i="23"/>
  <c r="H19" i="23"/>
  <c r="E14" i="1"/>
  <c r="E12" i="1"/>
  <c r="E13" i="1"/>
  <c r="D49" i="2" l="1"/>
  <c r="E14" i="2"/>
  <c r="E23" i="2" s="1"/>
  <c r="E12" i="2"/>
  <c r="E13" i="2"/>
  <c r="D54" i="23"/>
  <c r="D53" i="23"/>
  <c r="E41" i="23" s="1"/>
  <c r="E28" i="17"/>
  <c r="E27" i="17"/>
  <c r="F15" i="17" s="1"/>
  <c r="I45" i="2"/>
  <c r="J45" i="23"/>
  <c r="I19" i="1"/>
  <c r="I19" i="2"/>
  <c r="E35" i="1"/>
  <c r="E36" i="1"/>
  <c r="E49" i="1"/>
  <c r="H45" i="1"/>
  <c r="I19" i="18"/>
  <c r="I19" i="17"/>
  <c r="H45" i="17"/>
  <c r="I45" i="18"/>
  <c r="D54" i="18"/>
  <c r="D53" i="18"/>
  <c r="E41" i="18" s="1"/>
  <c r="D53" i="17"/>
  <c r="E41" i="17" s="1"/>
  <c r="D54" i="17"/>
  <c r="E23" i="1"/>
  <c r="I19" i="23"/>
  <c r="F13" i="23"/>
  <c r="F12" i="23"/>
  <c r="F23" i="23"/>
  <c r="F14" i="17"/>
  <c r="E13" i="18"/>
  <c r="E12" i="18"/>
  <c r="E14" i="18"/>
  <c r="E27" i="2" l="1"/>
  <c r="F15" i="2" s="1"/>
  <c r="E28" i="2"/>
  <c r="E36" i="18"/>
  <c r="E35" i="18"/>
  <c r="E38" i="18"/>
  <c r="E27" i="1"/>
  <c r="F15" i="1" s="1"/>
  <c r="E28" i="1"/>
  <c r="I45" i="17"/>
  <c r="J19" i="2"/>
  <c r="F12" i="17"/>
  <c r="F13" i="17"/>
  <c r="F23" i="17"/>
  <c r="J19" i="23"/>
  <c r="J19" i="18"/>
  <c r="J19" i="17"/>
  <c r="E54" i="1"/>
  <c r="E53" i="1"/>
  <c r="F41" i="1" s="1"/>
  <c r="D53" i="2"/>
  <c r="E41" i="2" s="1"/>
  <c r="D54" i="2"/>
  <c r="F28" i="23"/>
  <c r="F27" i="23"/>
  <c r="G15" i="23" s="1"/>
  <c r="F14" i="2"/>
  <c r="E23" i="18"/>
  <c r="E35" i="17"/>
  <c r="E36" i="17"/>
  <c r="E38" i="17"/>
  <c r="J45" i="18"/>
  <c r="I45" i="1"/>
  <c r="J19" i="1"/>
  <c r="J45" i="2"/>
  <c r="E35" i="23"/>
  <c r="E36" i="23"/>
  <c r="E38" i="23"/>
  <c r="F28" i="17" l="1"/>
  <c r="F27" i="17"/>
  <c r="G15" i="17" s="1"/>
  <c r="E49" i="23"/>
  <c r="E49" i="17"/>
  <c r="E28" i="18"/>
  <c r="E27" i="18"/>
  <c r="F15" i="18" s="1"/>
  <c r="F13" i="1"/>
  <c r="F12" i="1"/>
  <c r="F23" i="1"/>
  <c r="F14" i="1"/>
  <c r="J45" i="1"/>
  <c r="E35" i="2"/>
  <c r="E36" i="2"/>
  <c r="E49" i="2"/>
  <c r="E38" i="2"/>
  <c r="J45" i="17"/>
  <c r="G13" i="23"/>
  <c r="G12" i="23"/>
  <c r="G14" i="23"/>
  <c r="F35" i="1"/>
  <c r="F36" i="1"/>
  <c r="F38" i="1"/>
  <c r="E49" i="18"/>
  <c r="F12" i="2"/>
  <c r="F13" i="2"/>
  <c r="F23" i="2"/>
  <c r="E54" i="2" l="1"/>
  <c r="E53" i="2"/>
  <c r="F41" i="2" s="1"/>
  <c r="F28" i="1"/>
  <c r="F27" i="1"/>
  <c r="G15" i="1" s="1"/>
  <c r="G23" i="23"/>
  <c r="E53" i="18"/>
  <c r="F41" i="18" s="1"/>
  <c r="E54" i="18"/>
  <c r="E54" i="17"/>
  <c r="E53" i="17"/>
  <c r="F41" i="17" s="1"/>
  <c r="F13" i="18"/>
  <c r="F12" i="18"/>
  <c r="F14" i="18"/>
  <c r="F23" i="18" s="1"/>
  <c r="G12" i="17"/>
  <c r="G13" i="17"/>
  <c r="G14" i="17"/>
  <c r="F49" i="1"/>
  <c r="F28" i="2"/>
  <c r="F27" i="2"/>
  <c r="G15" i="2" s="1"/>
  <c r="F38" i="2"/>
  <c r="G14" i="1"/>
  <c r="E53" i="23"/>
  <c r="F41" i="23" s="1"/>
  <c r="E54" i="23"/>
  <c r="F27" i="18" l="1"/>
  <c r="G15" i="18" s="1"/>
  <c r="F28" i="18"/>
  <c r="F36" i="23"/>
  <c r="F35" i="23"/>
  <c r="F38" i="23"/>
  <c r="G13" i="2"/>
  <c r="G12" i="2"/>
  <c r="G14" i="2"/>
  <c r="G23" i="17"/>
  <c r="F36" i="17"/>
  <c r="F35" i="17"/>
  <c r="F38" i="17"/>
  <c r="F36" i="18"/>
  <c r="F35" i="18"/>
  <c r="F38" i="18"/>
  <c r="F49" i="18" s="1"/>
  <c r="G14" i="18"/>
  <c r="G28" i="23"/>
  <c r="G27" i="23"/>
  <c r="H15" i="23" s="1"/>
  <c r="F35" i="2"/>
  <c r="F36" i="2"/>
  <c r="F49" i="2"/>
  <c r="F53" i="1"/>
  <c r="G41" i="1" s="1"/>
  <c r="F54" i="1"/>
  <c r="G13" i="1"/>
  <c r="G12" i="1"/>
  <c r="G23" i="1"/>
  <c r="F54" i="18" l="1"/>
  <c r="F53" i="18"/>
  <c r="G41" i="18" s="1"/>
  <c r="H12" i="23"/>
  <c r="H13" i="23"/>
  <c r="H23" i="23"/>
  <c r="H14" i="23"/>
  <c r="F49" i="17"/>
  <c r="G38" i="18"/>
  <c r="F53" i="2"/>
  <c r="G41" i="2" s="1"/>
  <c r="F54" i="2"/>
  <c r="G23" i="2"/>
  <c r="F49" i="23"/>
  <c r="G27" i="17"/>
  <c r="H15" i="17" s="1"/>
  <c r="G28" i="17"/>
  <c r="G28" i="1"/>
  <c r="G27" i="1"/>
  <c r="H15" i="1" s="1"/>
  <c r="G36" i="1"/>
  <c r="G35" i="1"/>
  <c r="G49" i="1"/>
  <c r="G38" i="1"/>
  <c r="G13" i="18"/>
  <c r="G12" i="18"/>
  <c r="G23" i="18"/>
  <c r="G36" i="2" l="1"/>
  <c r="G35" i="2"/>
  <c r="G38" i="2"/>
  <c r="G49" i="2" s="1"/>
  <c r="G28" i="18"/>
  <c r="G27" i="18"/>
  <c r="H15" i="18" s="1"/>
  <c r="H12" i="1"/>
  <c r="H13" i="1"/>
  <c r="H14" i="1"/>
  <c r="F54" i="23"/>
  <c r="F53" i="23"/>
  <c r="G41" i="23" s="1"/>
  <c r="H13" i="17"/>
  <c r="H12" i="17"/>
  <c r="H14" i="17"/>
  <c r="F54" i="17"/>
  <c r="F53" i="17"/>
  <c r="G41" i="17" s="1"/>
  <c r="G53" i="1"/>
  <c r="H41" i="1" s="1"/>
  <c r="H38" i="1" s="1"/>
  <c r="G54" i="1"/>
  <c r="G27" i="2"/>
  <c r="H15" i="2" s="1"/>
  <c r="G28" i="2"/>
  <c r="G36" i="18"/>
  <c r="G35" i="18"/>
  <c r="G49" i="18"/>
  <c r="H27" i="23"/>
  <c r="I15" i="23" s="1"/>
  <c r="H28" i="23"/>
  <c r="G54" i="2" l="1"/>
  <c r="G53" i="2"/>
  <c r="H41" i="2" s="1"/>
  <c r="H12" i="2"/>
  <c r="H13" i="2"/>
  <c r="H14" i="2"/>
  <c r="G36" i="17"/>
  <c r="G35" i="17"/>
  <c r="G38" i="17"/>
  <c r="G49" i="17" s="1"/>
  <c r="H23" i="1"/>
  <c r="H12" i="18"/>
  <c r="H13" i="18"/>
  <c r="H14" i="18"/>
  <c r="G54" i="18"/>
  <c r="G53" i="18"/>
  <c r="H41" i="18" s="1"/>
  <c r="I12" i="23"/>
  <c r="I13" i="23"/>
  <c r="I23" i="23"/>
  <c r="I14" i="23"/>
  <c r="H36" i="1"/>
  <c r="H35" i="1"/>
  <c r="H49" i="1"/>
  <c r="H23" i="17"/>
  <c r="G36" i="23"/>
  <c r="G35" i="23"/>
  <c r="G49" i="23"/>
  <c r="G38" i="23"/>
  <c r="G54" i="17" l="1"/>
  <c r="G53" i="17"/>
  <c r="H41" i="17" s="1"/>
  <c r="G53" i="23"/>
  <c r="H41" i="23" s="1"/>
  <c r="G54" i="23"/>
  <c r="H35" i="18"/>
  <c r="H36" i="18"/>
  <c r="H38" i="18"/>
  <c r="H49" i="18" s="1"/>
  <c r="H35" i="2"/>
  <c r="H36" i="2"/>
  <c r="H49" i="2"/>
  <c r="H53" i="1"/>
  <c r="I41" i="1" s="1"/>
  <c r="H54" i="1"/>
  <c r="H38" i="17"/>
  <c r="H27" i="1"/>
  <c r="I15" i="1" s="1"/>
  <c r="H28" i="1"/>
  <c r="H23" i="2"/>
  <c r="I28" i="23"/>
  <c r="I27" i="23"/>
  <c r="J15" i="23" s="1"/>
  <c r="H38" i="23"/>
  <c r="H27" i="17"/>
  <c r="I15" i="17" s="1"/>
  <c r="H28" i="17"/>
  <c r="J14" i="23"/>
  <c r="H38" i="2"/>
  <c r="H23" i="18"/>
  <c r="H54" i="18" l="1"/>
  <c r="H53" i="18"/>
  <c r="I41" i="18" s="1"/>
  <c r="I13" i="17"/>
  <c r="I12" i="17"/>
  <c r="I14" i="17"/>
  <c r="H28" i="2"/>
  <c r="H27" i="2"/>
  <c r="I15" i="2" s="1"/>
  <c r="H35" i="23"/>
  <c r="H36" i="23"/>
  <c r="H49" i="23"/>
  <c r="H53" i="2"/>
  <c r="I41" i="2" s="1"/>
  <c r="H54" i="2"/>
  <c r="H27" i="18"/>
  <c r="I15" i="18" s="1"/>
  <c r="H28" i="18"/>
  <c r="H35" i="17"/>
  <c r="H36" i="17"/>
  <c r="H49" i="17"/>
  <c r="I38" i="18"/>
  <c r="I38" i="2"/>
  <c r="J13" i="23"/>
  <c r="J12" i="23"/>
  <c r="J23" i="23"/>
  <c r="I12" i="1"/>
  <c r="I13" i="1"/>
  <c r="I23" i="1"/>
  <c r="I14" i="1"/>
  <c r="I35" i="1"/>
  <c r="I36" i="1"/>
  <c r="I49" i="1"/>
  <c r="I38" i="1"/>
  <c r="I27" i="1" l="1"/>
  <c r="J15" i="1" s="1"/>
  <c r="I28" i="1"/>
  <c r="I12" i="2"/>
  <c r="I13" i="2"/>
  <c r="I14" i="2"/>
  <c r="I13" i="18"/>
  <c r="I12" i="18"/>
  <c r="I14" i="18"/>
  <c r="I54" i="1"/>
  <c r="I53" i="1"/>
  <c r="J41" i="1" s="1"/>
  <c r="H53" i="17"/>
  <c r="I41" i="17" s="1"/>
  <c r="H54" i="17"/>
  <c r="H54" i="23"/>
  <c r="H53" i="23"/>
  <c r="I41" i="23" s="1"/>
  <c r="I35" i="18"/>
  <c r="I36" i="18"/>
  <c r="I49" i="18"/>
  <c r="J14" i="1"/>
  <c r="J27" i="23"/>
  <c r="J28" i="23"/>
  <c r="I35" i="2"/>
  <c r="I36" i="2"/>
  <c r="I49" i="2"/>
  <c r="I23" i="17"/>
  <c r="J35" i="1" l="1"/>
  <c r="J36" i="1"/>
  <c r="I36" i="23"/>
  <c r="I35" i="23"/>
  <c r="I38" i="23"/>
  <c r="I28" i="17"/>
  <c r="I27" i="17"/>
  <c r="J15" i="17" s="1"/>
  <c r="J38" i="1"/>
  <c r="J49" i="1" s="1"/>
  <c r="I54" i="2"/>
  <c r="I53" i="2"/>
  <c r="J41" i="2" s="1"/>
  <c r="I53" i="18"/>
  <c r="J41" i="18" s="1"/>
  <c r="I54" i="18"/>
  <c r="I36" i="17"/>
  <c r="I35" i="17"/>
  <c r="I38" i="17"/>
  <c r="I49" i="17" s="1"/>
  <c r="I23" i="18"/>
  <c r="I23" i="2"/>
  <c r="J12" i="1"/>
  <c r="J13" i="1"/>
  <c r="J23" i="1"/>
  <c r="I54" i="17" l="1"/>
  <c r="I53" i="17"/>
  <c r="J41" i="17" s="1"/>
  <c r="J53" i="1"/>
  <c r="J54" i="1"/>
  <c r="J36" i="18"/>
  <c r="J35" i="18"/>
  <c r="J38" i="18"/>
  <c r="J49" i="18" s="1"/>
  <c r="I27" i="2"/>
  <c r="J15" i="2" s="1"/>
  <c r="I28" i="2"/>
  <c r="J35" i="2"/>
  <c r="J36" i="2"/>
  <c r="J38" i="2"/>
  <c r="J49" i="2" s="1"/>
  <c r="I49" i="23"/>
  <c r="J38" i="17"/>
  <c r="J28" i="1"/>
  <c r="J27" i="1"/>
  <c r="I28" i="18"/>
  <c r="I27" i="18"/>
  <c r="J15" i="18" s="1"/>
  <c r="J12" i="17"/>
  <c r="J13" i="17"/>
  <c r="J23" i="17"/>
  <c r="J14" i="17"/>
  <c r="J53" i="2" l="1"/>
  <c r="J54" i="2"/>
  <c r="J54" i="18"/>
  <c r="J53" i="18"/>
  <c r="I53" i="23"/>
  <c r="J41" i="23" s="1"/>
  <c r="I54" i="23"/>
  <c r="J13" i="2"/>
  <c r="J12" i="2"/>
  <c r="J14" i="2"/>
  <c r="J23" i="2" s="1"/>
  <c r="J36" i="17"/>
  <c r="J35" i="17"/>
  <c r="J49" i="17"/>
  <c r="J27" i="17"/>
  <c r="J28" i="17"/>
  <c r="J13" i="18"/>
  <c r="J12" i="18"/>
  <c r="J14" i="18"/>
  <c r="J23" i="18" s="1"/>
  <c r="J28" i="18" l="1"/>
  <c r="J27" i="18"/>
  <c r="J28" i="2"/>
  <c r="J27" i="2"/>
  <c r="J53" i="17"/>
  <c r="J54" i="17"/>
  <c r="J36" i="23"/>
  <c r="J35" i="23"/>
  <c r="J38" i="23"/>
  <c r="J49" i="23" s="1"/>
  <c r="J54" i="23" l="1"/>
  <c r="J53" i="23"/>
</calcChain>
</file>

<file path=xl/sharedStrings.xml><?xml version="1.0" encoding="utf-8"?>
<sst xmlns="http://schemas.openxmlformats.org/spreadsheetml/2006/main" count="862" uniqueCount="140">
  <si>
    <t>Tanker</t>
    <phoneticPr fontId="0"/>
  </si>
  <si>
    <t>Reduction factors (in percentage) for the EEXI relative to the EEDI reference line</t>
    <phoneticPr fontId="0"/>
  </si>
  <si>
    <r>
      <t>EIV</t>
    </r>
    <r>
      <rPr>
        <vertAlign val="subscript"/>
        <sz val="11"/>
        <color theme="1"/>
        <rFont val="Calibri"/>
        <family val="2"/>
      </rPr>
      <t>avg</t>
    </r>
  </si>
  <si>
    <r>
      <t>V</t>
    </r>
    <r>
      <rPr>
        <vertAlign val="subscript"/>
        <sz val="11"/>
        <color theme="1"/>
        <rFont val="Calibri"/>
        <family val="2"/>
      </rPr>
      <t>avg</t>
    </r>
  </si>
  <si>
    <t>Ship type</t>
  </si>
  <si>
    <t>Size</t>
  </si>
  <si>
    <t>Reduction factor</t>
  </si>
  <si>
    <t>a</t>
  </si>
  <si>
    <t>A</t>
  </si>
  <si>
    <t>c</t>
  </si>
  <si>
    <t>C</t>
  </si>
  <si>
    <t>0-20*</t>
  </si>
  <si>
    <t>Gas carrier</t>
  </si>
  <si>
    <t>15,000 DWT and above</t>
    <phoneticPr fontId="0"/>
  </si>
  <si>
    <t>Before EPL</t>
  </si>
  <si>
    <t>After EPL</t>
  </si>
  <si>
    <t>10,000 and above but less than 15,000 DWT</t>
  </si>
  <si>
    <t>Unit</t>
  </si>
  <si>
    <r>
      <t>V</t>
    </r>
    <r>
      <rPr>
        <b/>
        <vertAlign val="subscript"/>
        <sz val="9"/>
        <color theme="1"/>
        <rFont val="Calibri"/>
        <family val="2"/>
      </rPr>
      <t>ref</t>
    </r>
    <r>
      <rPr>
        <b/>
        <sz val="9"/>
        <color theme="1"/>
        <rFont val="Calibri"/>
        <family val="2"/>
      </rPr>
      <t xml:space="preserve"> available</t>
    </r>
  </si>
  <si>
    <t>Iteration 1</t>
  </si>
  <si>
    <t>Iteration 2</t>
  </si>
  <si>
    <t>Iteration 3</t>
  </si>
  <si>
    <t>Iteration 4</t>
  </si>
  <si>
    <t>Iteration 5</t>
  </si>
  <si>
    <t>Iteration 6</t>
    <phoneticPr fontId="0"/>
  </si>
  <si>
    <t>2,000 and above but less than 10,000 DWT</t>
  </si>
  <si>
    <t>Deadweight</t>
    <phoneticPr fontId="0"/>
  </si>
  <si>
    <t>DWT</t>
    <phoneticPr fontId="0"/>
  </si>
  <si>
    <t>Tanker</t>
  </si>
  <si>
    <t xml:space="preserve">20,000 DWT and above </t>
    <phoneticPr fontId="0"/>
  </si>
  <si>
    <t>100%DWT</t>
    <phoneticPr fontId="0"/>
  </si>
  <si>
    <t>4,000 and above but less than 20,000 DWT</t>
  </si>
  <si>
    <r>
      <t>MCR</t>
    </r>
    <r>
      <rPr>
        <vertAlign val="subscript"/>
        <sz val="11"/>
        <color theme="1"/>
        <rFont val="Calibri"/>
        <family val="2"/>
      </rPr>
      <t>ME</t>
    </r>
  </si>
  <si>
    <t>kW</t>
  </si>
  <si>
    <r>
      <t>MCR</t>
    </r>
    <r>
      <rPr>
        <vertAlign val="subscript"/>
        <sz val="11"/>
        <color theme="1"/>
        <rFont val="Calibri"/>
        <family val="2"/>
      </rPr>
      <t>lim</t>
    </r>
    <r>
      <rPr>
        <sz val="11"/>
        <color theme="1"/>
        <rFont val="Calibri"/>
        <family val="2"/>
      </rPr>
      <t xml:space="preserve"> (P</t>
    </r>
    <r>
      <rPr>
        <vertAlign val="subscript"/>
        <sz val="11"/>
        <color theme="1"/>
        <rFont val="Calibri"/>
        <family val="2"/>
      </rPr>
      <t>ME</t>
    </r>
    <r>
      <rPr>
        <sz val="11"/>
        <color theme="1"/>
        <rFont val="Calibri"/>
        <family val="2"/>
      </rPr>
      <t>/0.75)</t>
    </r>
  </si>
  <si>
    <t>-</t>
  </si>
  <si>
    <r>
      <t>MCR</t>
    </r>
    <r>
      <rPr>
        <vertAlign val="subscript"/>
        <sz val="11"/>
        <color theme="1"/>
        <rFont val="Calibri"/>
        <family val="2"/>
      </rPr>
      <t>lim</t>
    </r>
    <r>
      <rPr>
        <sz val="11"/>
        <color theme="1"/>
        <rFont val="Calibri"/>
        <family val="2"/>
      </rPr>
      <t xml:space="preserve"> (P</t>
    </r>
    <r>
      <rPr>
        <vertAlign val="subscript"/>
        <sz val="11"/>
        <color theme="1"/>
        <rFont val="Calibri"/>
        <family val="2"/>
      </rPr>
      <t>ME</t>
    </r>
    <r>
      <rPr>
        <sz val="11"/>
        <color theme="1"/>
        <rFont val="Calibri"/>
        <family val="2"/>
      </rPr>
      <t>/0.87)</t>
    </r>
  </si>
  <si>
    <t>kW</t>
    <phoneticPr fontId="0"/>
  </si>
  <si>
    <r>
      <t>V</t>
    </r>
    <r>
      <rPr>
        <vertAlign val="subscript"/>
        <sz val="11"/>
        <color theme="1"/>
        <rFont val="Calibri"/>
        <family val="2"/>
      </rPr>
      <t>ref</t>
    </r>
  </si>
  <si>
    <t>knot</t>
  </si>
  <si>
    <r>
      <t>P</t>
    </r>
    <r>
      <rPr>
        <vertAlign val="subscript"/>
        <sz val="11"/>
        <color theme="1"/>
        <rFont val="Calibri"/>
        <family val="2"/>
      </rPr>
      <t>ME</t>
    </r>
  </si>
  <si>
    <r>
      <t>P</t>
    </r>
    <r>
      <rPr>
        <vertAlign val="subscript"/>
        <sz val="11"/>
        <color theme="1"/>
        <rFont val="Calibri"/>
        <family val="2"/>
      </rPr>
      <t>AE</t>
    </r>
  </si>
  <si>
    <r>
      <t>SFC</t>
    </r>
    <r>
      <rPr>
        <vertAlign val="subscript"/>
        <sz val="11"/>
        <color theme="1"/>
        <rFont val="Calibri"/>
        <family val="2"/>
      </rPr>
      <t>ME</t>
    </r>
  </si>
  <si>
    <t>g/kWh</t>
  </si>
  <si>
    <r>
      <t>SFC</t>
    </r>
    <r>
      <rPr>
        <vertAlign val="subscript"/>
        <sz val="11"/>
        <color theme="1"/>
        <rFont val="Calibri"/>
        <family val="2"/>
      </rPr>
      <t>AE</t>
    </r>
  </si>
  <si>
    <r>
      <t>CF</t>
    </r>
    <r>
      <rPr>
        <vertAlign val="subscript"/>
        <sz val="11"/>
        <color theme="1"/>
        <rFont val="Calibri"/>
        <family val="2"/>
      </rPr>
      <t>ME</t>
    </r>
  </si>
  <si>
    <t>t-CO2/t-fuel</t>
  </si>
  <si>
    <r>
      <t>CF</t>
    </r>
    <r>
      <rPr>
        <vertAlign val="subscript"/>
        <sz val="11"/>
        <color theme="1"/>
        <rFont val="Calibri"/>
        <family val="2"/>
      </rPr>
      <t>AE</t>
    </r>
  </si>
  <si>
    <r>
      <t>f</t>
    </r>
    <r>
      <rPr>
        <vertAlign val="subscript"/>
        <sz val="11"/>
        <color theme="1"/>
        <rFont val="Calibri"/>
        <family val="2"/>
      </rPr>
      <t>iCSR</t>
    </r>
  </si>
  <si>
    <r>
      <t>f</t>
    </r>
    <r>
      <rPr>
        <vertAlign val="subscript"/>
        <sz val="11"/>
        <color theme="1"/>
        <rFont val="Calibri"/>
        <family val="2"/>
      </rPr>
      <t>cCHM</t>
    </r>
  </si>
  <si>
    <t>Att.EEXI</t>
  </si>
  <si>
    <t>g-CO2/DWT-mile</t>
  </si>
  <si>
    <t>LNG carrier</t>
  </si>
  <si>
    <t>10,000 DWT and above</t>
    <phoneticPr fontId="0"/>
  </si>
  <si>
    <t>Reduction rate</t>
  </si>
  <si>
    <t>Req.EEXI</t>
  </si>
  <si>
    <t>Att.EEXI / Req.EEXI</t>
  </si>
  <si>
    <t>Judgement</t>
    <phoneticPr fontId="0"/>
  </si>
  <si>
    <r>
      <t>V</t>
    </r>
    <r>
      <rPr>
        <b/>
        <vertAlign val="subscript"/>
        <sz val="9"/>
        <color theme="1"/>
        <rFont val="Calibri"/>
        <family val="2"/>
      </rPr>
      <t>ref</t>
    </r>
    <r>
      <rPr>
        <b/>
        <sz val="9"/>
        <color theme="1"/>
        <rFont val="Calibri"/>
        <family val="2"/>
      </rPr>
      <t xml:space="preserve"> non-available</t>
    </r>
  </si>
  <si>
    <t xml:space="preserve">* Reduction factor to be linearly interpolated between the two values dependent upon ship size. </t>
    <phoneticPr fontId="0"/>
  </si>
  <si>
    <t>The lower value of the reduction factor is to be applied to the smaller ship size.</t>
  </si>
  <si>
    <t>Capacity</t>
  </si>
  <si>
    <r>
      <t>MCR</t>
    </r>
    <r>
      <rPr>
        <vertAlign val="subscript"/>
        <sz val="11"/>
        <color theme="1"/>
        <rFont val="Calibri"/>
        <family val="2"/>
      </rPr>
      <t>avg</t>
    </r>
  </si>
  <si>
    <r>
      <t>V</t>
    </r>
    <r>
      <rPr>
        <vertAlign val="subscript"/>
        <sz val="11"/>
        <color theme="1"/>
        <rFont val="Calibri"/>
        <family val="2"/>
      </rPr>
      <t>app</t>
    </r>
  </si>
  <si>
    <r>
      <t xml:space="preserve">  V</t>
    </r>
    <r>
      <rPr>
        <vertAlign val="subscript"/>
        <sz val="11"/>
        <color theme="1"/>
        <rFont val="Calibri"/>
        <family val="2"/>
      </rPr>
      <t>avg</t>
    </r>
  </si>
  <si>
    <t xml:space="preserve">  margin</t>
  </si>
  <si>
    <r>
      <t>0-20</t>
    </r>
    <r>
      <rPr>
        <sz val="11"/>
        <color rgb="FFFF0000"/>
        <rFont val="Calibri"/>
        <family val="2"/>
      </rPr>
      <t>*</t>
    </r>
  </si>
  <si>
    <r>
      <rPr>
        <sz val="11"/>
        <color rgb="FFFF0000"/>
        <rFont val="Calibri"/>
        <family val="2"/>
      </rPr>
      <t>*</t>
    </r>
    <r>
      <rPr>
        <sz val="11"/>
        <color theme="1"/>
        <rFont val="Calibri"/>
        <family val="2"/>
      </rPr>
      <t xml:space="preserve"> Reduction factor to be linearly interpolated between the two values dependent upon ship size. </t>
    </r>
  </si>
  <si>
    <t>Gas carrier (LPG)</t>
    <phoneticPr fontId="0"/>
  </si>
  <si>
    <t>LPG carrier</t>
    <phoneticPr fontId="0"/>
  </si>
  <si>
    <t>VLGC(83Km3)</t>
    <phoneticPr fontId="0"/>
  </si>
  <si>
    <t>Iteration 6</t>
    <phoneticPr fontId="0"/>
  </si>
  <si>
    <t>Capacity</t>
    <phoneticPr fontId="0"/>
  </si>
  <si>
    <t>Judgement</t>
    <phoneticPr fontId="0"/>
  </si>
  <si>
    <t>Tanker</t>
    <phoneticPr fontId="0"/>
  </si>
  <si>
    <t>MR</t>
    <phoneticPr fontId="0"/>
  </si>
  <si>
    <t>LNG</t>
  </si>
  <si>
    <t>Formulas</t>
  </si>
  <si>
    <t>Deadweight</t>
  </si>
  <si>
    <t>DWT</t>
  </si>
  <si>
    <t>Ship data</t>
  </si>
  <si>
    <t>100%DWT</t>
  </si>
  <si>
    <t>As DWT</t>
  </si>
  <si>
    <r>
      <t>MCR</t>
    </r>
    <r>
      <rPr>
        <vertAlign val="subscript"/>
        <sz val="11"/>
        <color rgb="FF000000"/>
        <rFont val="Calibri"/>
        <family val="2"/>
      </rPr>
      <t>ME</t>
    </r>
  </si>
  <si>
    <r>
      <t>MCR</t>
    </r>
    <r>
      <rPr>
        <vertAlign val="subscript"/>
        <sz val="11"/>
        <color rgb="FF000000"/>
        <rFont val="Calibri"/>
        <family val="2"/>
      </rPr>
      <t>lim</t>
    </r>
    <r>
      <rPr>
        <sz val="11"/>
        <color rgb="FF000000"/>
        <rFont val="Calibri"/>
        <family val="2"/>
      </rPr>
      <t xml:space="preserve"> (P</t>
    </r>
    <r>
      <rPr>
        <vertAlign val="subscript"/>
        <sz val="11"/>
        <color rgb="FF000000"/>
        <rFont val="Calibri"/>
        <family val="2"/>
      </rPr>
      <t>ME</t>
    </r>
    <r>
      <rPr>
        <sz val="11"/>
        <color rgb="FF000000"/>
        <rFont val="Calibri"/>
        <family val="2"/>
      </rPr>
      <t>/0.75)</t>
    </r>
  </si>
  <si>
    <t>Limit of power if to apply to 75% MCR</t>
  </si>
  <si>
    <r>
      <t>P</t>
    </r>
    <r>
      <rPr>
        <vertAlign val="subscript"/>
        <sz val="11"/>
        <color rgb="FF000000"/>
        <rFont val="Calibri"/>
        <family val="2"/>
      </rPr>
      <t>ME</t>
    </r>
    <r>
      <rPr>
        <sz val="11"/>
        <color rgb="FF000000"/>
        <rFont val="Calibri"/>
        <family val="2"/>
      </rPr>
      <t>/0.75</t>
    </r>
  </si>
  <si>
    <r>
      <t>MCR</t>
    </r>
    <r>
      <rPr>
        <vertAlign val="subscript"/>
        <sz val="11"/>
        <color rgb="FF000000"/>
        <rFont val="Calibri"/>
        <family val="2"/>
      </rPr>
      <t>lim</t>
    </r>
    <r>
      <rPr>
        <sz val="11"/>
        <color rgb="FF000000"/>
        <rFont val="Calibri"/>
        <family val="2"/>
      </rPr>
      <t xml:space="preserve"> (P</t>
    </r>
    <r>
      <rPr>
        <vertAlign val="subscript"/>
        <sz val="11"/>
        <color rgb="FF000000"/>
        <rFont val="Calibri"/>
        <family val="2"/>
      </rPr>
      <t>ME</t>
    </r>
    <r>
      <rPr>
        <sz val="11"/>
        <color rgb="FF000000"/>
        <rFont val="Calibri"/>
        <family val="2"/>
      </rPr>
      <t>/0.87)</t>
    </r>
  </si>
  <si>
    <t>Limit of power if to apply to 87% MCR (as proposed by USA)</t>
  </si>
  <si>
    <r>
      <t>P</t>
    </r>
    <r>
      <rPr>
        <vertAlign val="subscript"/>
        <sz val="11"/>
        <color rgb="FF000000"/>
        <rFont val="Calibri"/>
        <family val="2"/>
      </rPr>
      <t xml:space="preserve">ME </t>
    </r>
    <r>
      <rPr>
        <sz val="11"/>
        <color rgb="FF000000"/>
        <rFont val="Calibri"/>
        <family val="2"/>
      </rPr>
      <t>x 1.15</t>
    </r>
  </si>
  <si>
    <r>
      <t>V</t>
    </r>
    <r>
      <rPr>
        <vertAlign val="subscript"/>
        <sz val="11"/>
        <color rgb="FF000000"/>
        <rFont val="Calibri"/>
        <family val="2"/>
      </rPr>
      <t>ref</t>
    </r>
  </si>
  <si>
    <t xml:space="preserve">Ship data / if not available see next table </t>
  </si>
  <si>
    <r>
      <t>P</t>
    </r>
    <r>
      <rPr>
        <vertAlign val="subscript"/>
        <sz val="11"/>
        <color rgb="FF000000"/>
        <rFont val="Calibri"/>
        <family val="2"/>
      </rPr>
      <t>ME</t>
    </r>
  </si>
  <si>
    <r>
      <t>0.75 x MCR</t>
    </r>
    <r>
      <rPr>
        <vertAlign val="subscript"/>
        <sz val="11"/>
        <color rgb="FF000000"/>
        <rFont val="Calibri"/>
        <family val="2"/>
      </rPr>
      <t>ME</t>
    </r>
  </si>
  <si>
    <r>
      <t>Iteration (0.9999xReq. EEXI/Attained EEXI)</t>
    </r>
    <r>
      <rPr>
        <vertAlign val="superscript"/>
        <sz val="11"/>
        <color rgb="FF000000"/>
        <rFont val="Calibri"/>
        <family val="2"/>
      </rPr>
      <t>3/2</t>
    </r>
  </si>
  <si>
    <r>
      <t>P</t>
    </r>
    <r>
      <rPr>
        <vertAlign val="subscript"/>
        <sz val="11"/>
        <color rgb="FF000000"/>
        <rFont val="Calibri"/>
        <family val="2"/>
      </rPr>
      <t>AE</t>
    </r>
  </si>
  <si>
    <r>
      <t>SFC</t>
    </r>
    <r>
      <rPr>
        <vertAlign val="subscript"/>
        <sz val="11"/>
        <color rgb="FF000000"/>
        <rFont val="Calibri"/>
        <family val="2"/>
      </rPr>
      <t>ME</t>
    </r>
  </si>
  <si>
    <t>Ship data or 190</t>
  </si>
  <si>
    <r>
      <t>SFC</t>
    </r>
    <r>
      <rPr>
        <vertAlign val="subscript"/>
        <sz val="11"/>
        <color rgb="FF000000"/>
        <rFont val="Calibri"/>
        <family val="2"/>
      </rPr>
      <t>AE</t>
    </r>
  </si>
  <si>
    <t>Ship data or 215</t>
  </si>
  <si>
    <r>
      <t>CF</t>
    </r>
    <r>
      <rPr>
        <vertAlign val="subscript"/>
        <sz val="11"/>
        <color rgb="FF000000"/>
        <rFont val="Calibri"/>
        <family val="2"/>
      </rPr>
      <t>ME</t>
    </r>
  </si>
  <si>
    <t>3.206 for MGO or 3.114 for HFO including 0.5% blend</t>
  </si>
  <si>
    <r>
      <t>CF</t>
    </r>
    <r>
      <rPr>
        <vertAlign val="subscript"/>
        <sz val="11"/>
        <color rgb="FF000000"/>
        <rFont val="Calibri"/>
        <family val="2"/>
      </rPr>
      <t>AE</t>
    </r>
  </si>
  <si>
    <r>
      <t>f</t>
    </r>
    <r>
      <rPr>
        <vertAlign val="subscript"/>
        <sz val="11"/>
        <color rgb="FF000000"/>
        <rFont val="Calibri"/>
        <family val="2"/>
      </rPr>
      <t>iCSR</t>
    </r>
  </si>
  <si>
    <t>assumed = 1</t>
  </si>
  <si>
    <r>
      <t>f</t>
    </r>
    <r>
      <rPr>
        <vertAlign val="subscript"/>
        <sz val="11"/>
        <color rgb="FF000000"/>
        <rFont val="Calibri"/>
        <family val="2"/>
      </rPr>
      <t>cCHM</t>
    </r>
  </si>
  <si>
    <t>gCO2/DWT-mile</t>
  </si>
  <si>
    <r>
      <t>(CF</t>
    </r>
    <r>
      <rPr>
        <vertAlign val="subscript"/>
        <sz val="11"/>
        <color rgb="FF000000"/>
        <rFont val="Calibri"/>
        <family val="2"/>
      </rPr>
      <t xml:space="preserve">ME </t>
    </r>
    <r>
      <rPr>
        <sz val="11"/>
        <color rgb="FF000000"/>
        <rFont val="Calibri"/>
        <family val="2"/>
      </rPr>
      <t>x SFC</t>
    </r>
    <r>
      <rPr>
        <vertAlign val="subscript"/>
        <sz val="11"/>
        <color rgb="FF000000"/>
        <rFont val="Calibri"/>
        <family val="2"/>
      </rPr>
      <t>ME</t>
    </r>
    <r>
      <rPr>
        <sz val="11"/>
        <color rgb="FF000000"/>
        <rFont val="Calibri"/>
        <family val="2"/>
      </rPr>
      <t xml:space="preserve"> x P</t>
    </r>
    <r>
      <rPr>
        <vertAlign val="subscript"/>
        <sz val="11"/>
        <color rgb="FF000000"/>
        <rFont val="Calibri"/>
        <family val="2"/>
      </rPr>
      <t>ME</t>
    </r>
    <r>
      <rPr>
        <sz val="11"/>
        <color rgb="FF000000"/>
        <rFont val="Calibri"/>
        <family val="2"/>
      </rPr>
      <t xml:space="preserve"> + CF</t>
    </r>
    <r>
      <rPr>
        <vertAlign val="subscript"/>
        <sz val="11"/>
        <color rgb="FF000000"/>
        <rFont val="Calibri"/>
        <family val="2"/>
      </rPr>
      <t>AE</t>
    </r>
    <r>
      <rPr>
        <sz val="11"/>
        <color rgb="FF000000"/>
        <rFont val="Calibri"/>
        <family val="2"/>
      </rPr>
      <t xml:space="preserve"> x SFC</t>
    </r>
    <r>
      <rPr>
        <vertAlign val="subscript"/>
        <sz val="11"/>
        <color rgb="FF000000"/>
        <rFont val="Calibri"/>
        <family val="2"/>
      </rPr>
      <t>AE</t>
    </r>
    <r>
      <rPr>
        <sz val="11"/>
        <color rgb="FF000000"/>
        <rFont val="Calibri"/>
        <family val="2"/>
      </rPr>
      <t xml:space="preserve"> x P</t>
    </r>
    <r>
      <rPr>
        <vertAlign val="subscript"/>
        <sz val="11"/>
        <color rgb="FF000000"/>
        <rFont val="Calibri"/>
        <family val="2"/>
      </rPr>
      <t>AE</t>
    </r>
    <r>
      <rPr>
        <sz val="11"/>
        <color rgb="FF000000"/>
        <rFont val="Calibri"/>
        <family val="2"/>
      </rPr>
      <t xml:space="preserve"> )/( f</t>
    </r>
    <r>
      <rPr>
        <vertAlign val="subscript"/>
        <sz val="11"/>
        <color rgb="FF000000"/>
        <rFont val="Calibri"/>
        <family val="2"/>
      </rPr>
      <t>iCSR</t>
    </r>
    <r>
      <rPr>
        <sz val="11"/>
        <color rgb="FF000000"/>
        <rFont val="Calibri"/>
        <family val="2"/>
      </rPr>
      <t xml:space="preserve"> x f</t>
    </r>
    <r>
      <rPr>
        <vertAlign val="subscript"/>
        <sz val="11"/>
        <color rgb="FF000000"/>
        <rFont val="Calibri"/>
        <family val="2"/>
      </rPr>
      <t>cCHM</t>
    </r>
    <r>
      <rPr>
        <sz val="11"/>
        <color rgb="FF000000"/>
        <rFont val="Calibri"/>
        <family val="2"/>
      </rPr>
      <t xml:space="preserve"> x DWT x V</t>
    </r>
    <r>
      <rPr>
        <vertAlign val="subscript"/>
        <sz val="11"/>
        <color rgb="FF000000"/>
        <rFont val="Calibri"/>
        <family val="2"/>
      </rPr>
      <t>ref</t>
    </r>
    <r>
      <rPr>
        <sz val="11"/>
        <color rgb="FF000000"/>
        <rFont val="Calibri"/>
        <family val="2"/>
      </rPr>
      <t xml:space="preserve"> )</t>
    </r>
  </si>
  <si>
    <r>
      <t>EIV</t>
    </r>
    <r>
      <rPr>
        <vertAlign val="subscript"/>
        <sz val="11"/>
        <color rgb="FF000000"/>
        <rFont val="Calibri"/>
        <family val="2"/>
      </rPr>
      <t>avg</t>
    </r>
  </si>
  <si>
    <r>
      <t>1218.8 x DWT</t>
    </r>
    <r>
      <rPr>
        <vertAlign val="superscript"/>
        <sz val="11"/>
        <color rgb="FF000000"/>
        <rFont val="Calibri"/>
        <family val="2"/>
      </rPr>
      <t>-0.488</t>
    </r>
  </si>
  <si>
    <t>If &lt; 1 = compliance</t>
  </si>
  <si>
    <t> Tanker</t>
  </si>
  <si>
    <r>
      <rPr>
        <b/>
        <sz val="11"/>
        <color rgb="FFFF0000"/>
        <rFont val="Calibri"/>
        <family val="2"/>
      </rPr>
      <t>V</t>
    </r>
    <r>
      <rPr>
        <b/>
        <vertAlign val="subscript"/>
        <sz val="11"/>
        <color rgb="FFFF0000"/>
        <rFont val="Calibri"/>
        <family val="2"/>
      </rPr>
      <t>ref</t>
    </r>
    <r>
      <rPr>
        <b/>
        <sz val="11"/>
        <color rgb="FFFF0000"/>
        <rFont val="Calibri"/>
        <family val="2"/>
      </rPr>
      <t xml:space="preserve"> not known</t>
    </r>
  </si>
  <si>
    <r>
      <rPr>
        <b/>
        <sz val="11"/>
        <color rgb="FFFF0000"/>
        <rFont val="Calibri"/>
        <family val="2"/>
      </rPr>
      <t>V</t>
    </r>
    <r>
      <rPr>
        <b/>
        <vertAlign val="subscript"/>
        <sz val="11"/>
        <color rgb="FFFF0000"/>
        <rFont val="Calibri"/>
        <family val="2"/>
      </rPr>
      <t>ref</t>
    </r>
    <r>
      <rPr>
        <b/>
        <sz val="11"/>
        <color rgb="FFFF0000"/>
        <rFont val="Calibri"/>
        <family val="2"/>
      </rPr>
      <t xml:space="preserve"> known</t>
    </r>
  </si>
  <si>
    <r>
      <t>V</t>
    </r>
    <r>
      <rPr>
        <vertAlign val="subscript"/>
        <sz val="11"/>
        <color rgb="FF000000"/>
        <rFont val="Calibri"/>
        <family val="2"/>
      </rPr>
      <t>app</t>
    </r>
  </si>
  <si>
    <r>
      <t>V</t>
    </r>
    <r>
      <rPr>
        <vertAlign val="subscript"/>
        <sz val="11"/>
        <color rgb="FF000000"/>
        <rFont val="Calibri"/>
        <family val="2"/>
      </rPr>
      <t>avg</t>
    </r>
  </si>
  <si>
    <t>Tanker VLCC</t>
  </si>
  <si>
    <t>Tanker/LPG (2)</t>
  </si>
  <si>
    <r>
      <t>MCR</t>
    </r>
    <r>
      <rPr>
        <vertAlign val="subscript"/>
        <sz val="11"/>
        <color rgb="FF000000"/>
        <rFont val="Calibri"/>
        <family val="2"/>
      </rPr>
      <t>avg</t>
    </r>
  </si>
  <si>
    <r>
      <t>Two formulas if MCR</t>
    </r>
    <r>
      <rPr>
        <vertAlign val="subscript"/>
        <sz val="11"/>
        <color rgb="FF000000"/>
        <rFont val="Calibri"/>
        <family val="2"/>
      </rPr>
      <t>ME</t>
    </r>
    <r>
      <rPr>
        <sz val="11"/>
        <color rgb="FF000000"/>
        <rFont val="Calibri"/>
        <family val="2"/>
      </rPr>
      <t xml:space="preserve"> is &gt; or = 10,000 kW or if MCR</t>
    </r>
    <r>
      <rPr>
        <vertAlign val="subscript"/>
        <sz val="11"/>
        <color rgb="FF000000"/>
        <rFont val="Calibri"/>
        <family val="2"/>
      </rPr>
      <t>ME</t>
    </r>
    <r>
      <rPr>
        <sz val="11"/>
        <color rgb="FF000000"/>
        <rFont val="Calibri"/>
        <family val="2"/>
      </rPr>
      <t xml:space="preserve"> is &lt; 10,000 kW</t>
    </r>
  </si>
  <si>
    <t>Knot</t>
  </si>
  <si>
    <r>
      <t>(V</t>
    </r>
    <r>
      <rPr>
        <vertAlign val="subscript"/>
        <sz val="11"/>
        <color rgb="FF000000"/>
        <rFont val="Calibri"/>
        <family val="2"/>
      </rPr>
      <t>avg</t>
    </r>
    <r>
      <rPr>
        <sz val="11"/>
        <color rgb="FF000000"/>
        <rFont val="Calibri"/>
        <family val="2"/>
      </rPr>
      <t xml:space="preserve"> – m) x (MCR</t>
    </r>
    <r>
      <rPr>
        <vertAlign val="subscript"/>
        <sz val="11"/>
        <color rgb="FF000000"/>
        <rFont val="Calibri"/>
        <family val="2"/>
      </rPr>
      <t>ME</t>
    </r>
    <r>
      <rPr>
        <sz val="11"/>
        <color rgb="FF000000"/>
        <rFont val="Calibri"/>
        <family val="2"/>
      </rPr>
      <t>/ MCR</t>
    </r>
    <r>
      <rPr>
        <vertAlign val="subscript"/>
        <sz val="11"/>
        <color rgb="FF000000"/>
        <rFont val="Calibri"/>
        <family val="2"/>
      </rPr>
      <t>avg</t>
    </r>
    <r>
      <rPr>
        <sz val="11"/>
        <color rgb="FF000000"/>
        <rFont val="Calibri"/>
        <family val="2"/>
      </rPr>
      <t>)</t>
    </r>
    <r>
      <rPr>
        <vertAlign val="superscript"/>
        <sz val="11"/>
        <color rgb="FF000000"/>
        <rFont val="Calibri"/>
        <family val="2"/>
      </rPr>
      <t>1/3</t>
    </r>
  </si>
  <si>
    <r>
      <t>8.1358 x DWT</t>
    </r>
    <r>
      <rPr>
        <vertAlign val="superscript"/>
        <sz val="11"/>
        <color rgb="FF000000"/>
        <rFont val="Calibri"/>
        <family val="2"/>
      </rPr>
      <t>0.05383</t>
    </r>
  </si>
  <si>
    <r>
      <t>0.05x V</t>
    </r>
    <r>
      <rPr>
        <vertAlign val="subscript"/>
        <sz val="11"/>
        <color rgb="FF000000"/>
        <rFont val="Calibri"/>
        <family val="2"/>
      </rPr>
      <t>app</t>
    </r>
    <r>
      <rPr>
        <sz val="11"/>
        <color rgb="FF000000"/>
        <rFont val="Calibri"/>
        <family val="2"/>
      </rPr>
      <t xml:space="preserve"> or 1, whichever is lower</t>
    </r>
  </si>
  <si>
    <t xml:space="preserve">Calculated </t>
  </si>
  <si>
    <t>tCO2/t-fuel</t>
  </si>
  <si>
    <t>Assume 1</t>
  </si>
  <si>
    <t>Assumed 1</t>
  </si>
  <si>
    <t>Some instruction to use the “EEXI calculator”:</t>
  </si>
  <si>
    <r>
      <t>·</t>
    </r>
    <r>
      <rPr>
        <sz val="7"/>
        <rFont val="Times New Roman"/>
        <family val="1"/>
      </rPr>
      <t xml:space="preserve">       </t>
    </r>
    <r>
      <rPr>
        <sz val="11"/>
        <rFont val="Arial"/>
        <family val="2"/>
      </rPr>
      <t>You will see two tables for each ship type. The upper table will provide you with the results if have the original V</t>
    </r>
    <r>
      <rPr>
        <vertAlign val="subscript"/>
        <sz val="11"/>
        <rFont val="Arial"/>
        <family val="2"/>
      </rPr>
      <t>ref.</t>
    </r>
    <r>
      <rPr>
        <sz val="11"/>
        <rFont val="Arial"/>
        <family val="2"/>
      </rPr>
      <t xml:space="preserve"> of the ship. The lower table is for the case you do not have the original V</t>
    </r>
    <r>
      <rPr>
        <vertAlign val="subscript"/>
        <sz val="11"/>
        <rFont val="Arial"/>
        <family val="2"/>
      </rPr>
      <t>ref</t>
    </r>
    <r>
      <rPr>
        <sz val="11"/>
        <rFont val="Arial"/>
        <family val="2"/>
      </rPr>
      <t>. (which may be the case for pre-EEDI ships), then approximated ship speed V</t>
    </r>
    <r>
      <rPr>
        <vertAlign val="subscript"/>
        <sz val="11"/>
        <rFont val="Arial"/>
        <family val="2"/>
      </rPr>
      <t>app</t>
    </r>
    <r>
      <rPr>
        <sz val="11"/>
        <rFont val="Arial"/>
        <family val="2"/>
      </rPr>
      <t xml:space="preserve"> is automatically calculated in the second table (cell D38).</t>
    </r>
  </si>
  <si>
    <r>
      <t>·</t>
    </r>
    <r>
      <rPr>
        <sz val="7"/>
        <rFont val="Times New Roman"/>
        <family val="1"/>
      </rPr>
      <t xml:space="preserve">       </t>
    </r>
    <r>
      <rPr>
        <sz val="11"/>
        <rFont val="Arial"/>
        <family val="2"/>
      </rPr>
      <t>By introducing your data, you can see your current attained EEXI in D23 (or D49).</t>
    </r>
  </si>
  <si>
    <r>
      <t>·</t>
    </r>
    <r>
      <rPr>
        <sz val="7"/>
        <rFont val="Times New Roman"/>
        <family val="1"/>
      </rPr>
      <t xml:space="preserve">       </t>
    </r>
    <r>
      <rPr>
        <sz val="11"/>
        <rFont val="Arial"/>
        <family val="2"/>
      </rPr>
      <t>If the attained EEXI does not satisfy the required EEXI, please see lines E to J, where iteration of the EEXI calculation with EPL are provided.</t>
    </r>
  </si>
  <si>
    <r>
      <t>·</t>
    </r>
    <r>
      <rPr>
        <sz val="7"/>
        <rFont val="Times New Roman"/>
        <family val="1"/>
      </rPr>
      <t xml:space="preserve">       </t>
    </r>
    <r>
      <rPr>
        <sz val="11"/>
        <rFont val="Arial"/>
        <family val="2"/>
      </rPr>
      <t xml:space="preserve">First, note and choose the sheet corresponding to ship type you wish to check.  Nopte that for VLCC is a separate work sheet becasue of different reduction factor than for other tankers. </t>
    </r>
  </si>
  <si>
    <r>
      <t>·</t>
    </r>
    <r>
      <rPr>
        <sz val="7"/>
        <rFont val="Times New Roman"/>
        <family val="1"/>
      </rPr>
      <t xml:space="preserve">       </t>
    </r>
    <r>
      <rPr>
        <sz val="11"/>
        <rFont val="Arial"/>
        <family val="2"/>
      </rPr>
      <t xml:space="preserve">"Tanker" category applies to oil tankers (excelpt VLCC) and Chemical Tankers. </t>
    </r>
  </si>
  <si>
    <r>
      <t>·</t>
    </r>
    <r>
      <rPr>
        <sz val="7"/>
        <rFont val="Times New Roman"/>
        <family val="1"/>
      </rPr>
      <t xml:space="preserve">       </t>
    </r>
    <r>
      <rPr>
        <sz val="11"/>
        <rFont val="Arial"/>
        <family val="2"/>
      </rPr>
      <t>For example, for the VLCC tanker default case (when the Vref. Is known), compliance will be met with a Power Limit set at 17,359 kW, corresponding to a V</t>
    </r>
    <r>
      <rPr>
        <vertAlign val="subscript"/>
        <sz val="11"/>
        <rFont val="Arial"/>
        <family val="2"/>
      </rPr>
      <t>ref</t>
    </r>
    <r>
      <rPr>
        <sz val="11"/>
        <rFont val="Arial"/>
        <family val="2"/>
      </rPr>
      <t xml:space="preserve"> reduction from 15.80 knots to 14.06 knots.</t>
    </r>
  </si>
  <si>
    <r>
      <t>·</t>
    </r>
    <r>
      <rPr>
        <sz val="7"/>
        <rFont val="Times New Roman"/>
        <family val="1"/>
      </rPr>
      <t xml:space="preserve">       </t>
    </r>
    <r>
      <rPr>
        <sz val="11"/>
        <rFont val="Arial"/>
        <family val="2"/>
      </rPr>
      <t xml:space="preserve">Set your ship data in the </t>
    </r>
    <r>
      <rPr>
        <b/>
        <sz val="11"/>
        <color theme="3"/>
        <rFont val="Arial"/>
        <family val="2"/>
      </rPr>
      <t>blue-coloured cells</t>
    </r>
    <r>
      <rPr>
        <sz val="11"/>
        <rFont val="Arial"/>
        <family val="2"/>
      </rPr>
      <t xml:space="preserve"> in D line (D9, 11, 14, 17-22). As a default, there is tentatively a model-case data in these cells which you should replace them with your data.</t>
    </r>
  </si>
  <si>
    <r>
      <t>EIV</t>
    </r>
    <r>
      <rPr>
        <vertAlign val="subscript"/>
        <sz val="11"/>
        <color rgb="FF000000"/>
        <rFont val="Calibri"/>
        <family val="2"/>
      </rPr>
      <t>avg</t>
    </r>
    <r>
      <rPr>
        <sz val="11"/>
        <color rgb="FF000000"/>
        <rFont val="Calibri"/>
        <family val="2"/>
      </rPr>
      <t xml:space="preserve"> x (1-0.20) [(1-0.15) for VLCCs]</t>
    </r>
  </si>
  <si>
    <t>Chemical</t>
  </si>
  <si>
    <r>
      <t>Note that for the example on "Chemical Tanker", it is included the correction factor f</t>
    </r>
    <r>
      <rPr>
        <vertAlign val="subscript"/>
        <sz val="11"/>
        <rFont val="Arial"/>
        <family val="2"/>
      </rPr>
      <t xml:space="preserve">cCHEM </t>
    </r>
    <r>
      <rPr>
        <sz val="11"/>
        <rFont val="Arial"/>
        <family val="2"/>
      </rPr>
      <t xml:space="preserve">= 1.063. For "oil tankers", this factor is = 1.00.   </t>
    </r>
  </si>
  <si>
    <t>Note that the auxiliary power is calculated as according to the suggested regulation. One may chose to use the actual value.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</si>
</sst>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#,##0_ "/>
    <numFmt numFmtId="165" formatCode="#,##0.00_ "/>
    <numFmt numFmtId="166" formatCode="#,##0.0000_ "/>
    <numFmt numFmtId="167" formatCode="#,##0.000_ "/>
    <numFmt numFmtId="168" formatCode="#,##0.00000_ "/>
    <numFmt numFmtId="169" formatCode="#,##0.0_ "/>
    <numFmt numFmtId="170" formatCode="0.000_ "/>
    <numFmt numFmtId="171" formatCode="0.00_ "/>
  </numFmts>
  <fonts count="2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  <charset val="128"/>
      <scheme val="minor"/>
    </font>
    <font>
      <vertAlign val="subscript"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9"/>
      <color theme="1"/>
      <name val="Calibri"/>
      <family val="2"/>
    </font>
    <font>
      <b/>
      <vertAlign val="subscript"/>
      <sz val="9"/>
      <color theme="1"/>
      <name val="Calibri"/>
      <family val="2"/>
    </font>
    <font>
      <sz val="11"/>
      <color rgb="FFFF0000"/>
      <name val="Calibri"/>
      <family val="2"/>
    </font>
    <font>
      <sz val="10"/>
      <name val="Times New Roman"/>
      <family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vertAlign val="subscript"/>
      <sz val="11"/>
      <color rgb="FF000000"/>
      <name val="Calibri"/>
      <family val="2"/>
    </font>
    <font>
      <vertAlign val="superscript"/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vertAlign val="subscript"/>
      <sz val="11"/>
      <color rgb="FFFF0000"/>
      <name val="Calibri"/>
      <family val="2"/>
    </font>
    <font>
      <sz val="11"/>
      <name val="Arial"/>
      <family val="2"/>
    </font>
    <font>
      <sz val="11"/>
      <name val="Symbol"/>
      <family val="1"/>
      <charset val="2"/>
    </font>
    <font>
      <sz val="7"/>
      <name val="Times New Roman"/>
      <family val="1"/>
    </font>
    <font>
      <vertAlign val="subscript"/>
      <sz val="11"/>
      <name val="Arial"/>
      <family val="2"/>
    </font>
    <font>
      <b/>
      <sz val="11"/>
      <color theme="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CCFF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0" applyFont="1" applyAlignment="1">
      <alignment vertical="center"/>
    </xf>
    <xf numFmtId="0" fontId="2" fillId="0" borderId="0" xfId="1" applyFont="1"/>
    <xf numFmtId="0" fontId="3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/>
    </xf>
    <xf numFmtId="165" fontId="2" fillId="2" borderId="1" xfId="1" applyNumberFormat="1" applyFont="1" applyFill="1" applyBorder="1" applyAlignment="1">
      <alignment vertical="center"/>
    </xf>
    <xf numFmtId="166" fontId="2" fillId="2" borderId="1" xfId="1" applyNumberFormat="1" applyFont="1" applyFill="1" applyBorder="1" applyAlignment="1">
      <alignment vertical="center"/>
    </xf>
    <xf numFmtId="167" fontId="2" fillId="2" borderId="1" xfId="1" applyNumberFormat="1" applyFont="1" applyFill="1" applyBorder="1" applyAlignment="1">
      <alignment vertical="center"/>
    </xf>
    <xf numFmtId="168" fontId="2" fillId="2" borderId="1" xfId="1" applyNumberFormat="1" applyFont="1" applyFill="1" applyBorder="1" applyAlignment="1">
      <alignment vertical="center"/>
    </xf>
    <xf numFmtId="164" fontId="6" fillId="0" borderId="1" xfId="1" applyNumberFormat="1" applyFont="1" applyBorder="1" applyAlignment="1">
      <alignment vertical="center"/>
    </xf>
    <xf numFmtId="164" fontId="2" fillId="0" borderId="1" xfId="1" applyNumberFormat="1" applyFont="1" applyBorder="1" applyAlignment="1">
      <alignment vertical="center"/>
    </xf>
    <xf numFmtId="164" fontId="7" fillId="3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64" fontId="2" fillId="4" borderId="1" xfId="0" applyNumberFormat="1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vertical="center"/>
    </xf>
    <xf numFmtId="164" fontId="2" fillId="0" borderId="1" xfId="1" applyNumberFormat="1" applyFont="1" applyFill="1" applyBorder="1" applyAlignment="1">
      <alignment horizontal="center" vertical="center"/>
    </xf>
    <xf numFmtId="164" fontId="2" fillId="2" borderId="1" xfId="1" applyNumberFormat="1" applyFont="1" applyFill="1" applyBorder="1" applyAlignment="1">
      <alignment vertical="center"/>
    </xf>
    <xf numFmtId="164" fontId="2" fillId="4" borderId="1" xfId="1" applyNumberFormat="1" applyFont="1" applyFill="1" applyBorder="1" applyAlignment="1">
      <alignment vertical="center"/>
    </xf>
    <xf numFmtId="164" fontId="2" fillId="2" borderId="1" xfId="1" applyNumberFormat="1" applyFont="1" applyFill="1" applyBorder="1" applyAlignment="1">
      <alignment horizontal="right" vertical="center"/>
    </xf>
    <xf numFmtId="164" fontId="2" fillId="2" borderId="1" xfId="1" applyNumberFormat="1" applyFont="1" applyFill="1" applyBorder="1" applyAlignment="1">
      <alignment horizontal="center" vertical="center"/>
    </xf>
    <xf numFmtId="169" fontId="2" fillId="0" borderId="1" xfId="1" applyNumberFormat="1" applyFont="1" applyBorder="1" applyAlignment="1">
      <alignment vertical="center"/>
    </xf>
    <xf numFmtId="169" fontId="2" fillId="0" borderId="1" xfId="1" applyNumberFormat="1" applyFont="1" applyBorder="1" applyAlignment="1">
      <alignment horizontal="center" vertical="center"/>
    </xf>
    <xf numFmtId="165" fontId="2" fillId="4" borderId="1" xfId="1" applyNumberFormat="1" applyFont="1" applyFill="1" applyBorder="1" applyAlignment="1">
      <alignment vertical="center"/>
    </xf>
    <xf numFmtId="169" fontId="2" fillId="4" borderId="1" xfId="1" applyNumberFormat="1" applyFont="1" applyFill="1" applyBorder="1" applyAlignment="1">
      <alignment vertical="center"/>
    </xf>
    <xf numFmtId="169" fontId="2" fillId="2" borderId="1" xfId="1" applyNumberFormat="1" applyFont="1" applyFill="1" applyBorder="1" applyAlignment="1">
      <alignment vertical="center"/>
    </xf>
    <xf numFmtId="167" fontId="2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horizontal="center" vertical="center"/>
    </xf>
    <xf numFmtId="167" fontId="2" fillId="4" borderId="1" xfId="1" applyNumberFormat="1" applyFont="1" applyFill="1" applyBorder="1" applyAlignment="1">
      <alignment vertical="center"/>
    </xf>
    <xf numFmtId="170" fontId="2" fillId="2" borderId="1" xfId="1" applyNumberFormat="1" applyFont="1" applyFill="1" applyBorder="1" applyAlignment="1">
      <alignment vertical="center"/>
    </xf>
    <xf numFmtId="170" fontId="2" fillId="4" borderId="1" xfId="1" applyNumberFormat="1" applyFont="1" applyFill="1" applyBorder="1" applyAlignment="1">
      <alignment vertical="center"/>
    </xf>
    <xf numFmtId="164" fontId="2" fillId="5" borderId="1" xfId="1" applyNumberFormat="1" applyFont="1" applyFill="1" applyBorder="1" applyAlignment="1">
      <alignment horizontal="center" vertical="center"/>
    </xf>
    <xf numFmtId="171" fontId="2" fillId="2" borderId="1" xfId="1" applyNumberFormat="1" applyFont="1" applyFill="1" applyBorder="1" applyAlignment="1">
      <alignment vertical="center"/>
    </xf>
    <xf numFmtId="171" fontId="2" fillId="2" borderId="1" xfId="1" applyNumberFormat="1" applyFont="1" applyFill="1" applyBorder="1" applyAlignment="1">
      <alignment horizontal="right" vertical="center"/>
    </xf>
    <xf numFmtId="171" fontId="2" fillId="2" borderId="1" xfId="1" applyNumberFormat="1" applyFont="1" applyFill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12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9" fontId="2" fillId="0" borderId="1" xfId="0" applyNumberFormat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7" fillId="0" borderId="0" xfId="0" applyFont="1" applyAlignment="1">
      <alignment horizontal="justify" vertical="center" wrapText="1"/>
    </xf>
    <xf numFmtId="0" fontId="18" fillId="0" borderId="0" xfId="0" applyFont="1" applyAlignment="1">
      <alignment horizontal="justify" vertical="center" wrapText="1"/>
    </xf>
    <xf numFmtId="164" fontId="3" fillId="0" borderId="1" xfId="1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164" fontId="2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</cellXfs>
  <cellStyles count="2">
    <cellStyle name="Normal" xfId="0" builtinId="0"/>
    <cellStyle name="標準 2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54"/>
  <sheetViews>
    <sheetView tabSelected="1" workbookViewId="0">
      <selection activeCell="L27" sqref="L27"/>
    </sheetView>
  </sheetViews>
  <sheetFormatPr defaultColWidth="9" defaultRowHeight="15"/>
  <cols>
    <col min="1" max="1" width="9" style="1"/>
    <col min="2" max="2" width="16.28515625" style="1" customWidth="1"/>
    <col min="3" max="3" width="14.5703125" style="1" customWidth="1"/>
    <col min="4" max="10" width="12.5703125" style="1" customWidth="1"/>
    <col min="11" max="11" width="9" style="1"/>
    <col min="12" max="12" width="28" style="1" customWidth="1"/>
    <col min="13" max="13" width="36.140625" style="1" customWidth="1"/>
    <col min="14" max="14" width="15.42578125" style="1" customWidth="1"/>
    <col min="15" max="16384" width="9" style="1"/>
  </cols>
  <sheetData>
    <row r="2" spans="2:14" ht="18.75">
      <c r="B2" s="50" t="s">
        <v>0</v>
      </c>
      <c r="C2" s="51"/>
      <c r="D2" s="51"/>
      <c r="E2" s="51"/>
      <c r="H2" s="2"/>
      <c r="I2" s="2"/>
      <c r="J2" s="2"/>
      <c r="L2" s="3" t="s">
        <v>1</v>
      </c>
    </row>
    <row r="3" spans="2:14" ht="30">
      <c r="B3" s="52" t="s">
        <v>2</v>
      </c>
      <c r="C3" s="53"/>
      <c r="D3" s="52" t="s">
        <v>3</v>
      </c>
      <c r="E3" s="53"/>
      <c r="H3" s="2"/>
      <c r="I3" s="2"/>
      <c r="J3" s="2"/>
      <c r="L3" s="4" t="s">
        <v>4</v>
      </c>
      <c r="M3" s="4" t="s">
        <v>5</v>
      </c>
      <c r="N3" s="4" t="s">
        <v>6</v>
      </c>
    </row>
    <row r="4" spans="2:14">
      <c r="B4" s="5" t="s">
        <v>7</v>
      </c>
      <c r="C4" s="6">
        <v>1218.8</v>
      </c>
      <c r="D4" s="5" t="s">
        <v>8</v>
      </c>
      <c r="E4" s="7">
        <v>8.1357999999999997</v>
      </c>
      <c r="H4" s="2"/>
      <c r="I4" s="2"/>
      <c r="J4" s="2"/>
      <c r="L4" s="54" t="s">
        <v>28</v>
      </c>
      <c r="M4" s="4" t="s">
        <v>29</v>
      </c>
      <c r="N4" s="4">
        <v>20</v>
      </c>
    </row>
    <row r="5" spans="2:14" ht="30">
      <c r="B5" s="5" t="s">
        <v>9</v>
      </c>
      <c r="C5" s="8">
        <v>0.48799999999999999</v>
      </c>
      <c r="D5" s="5" t="s">
        <v>10</v>
      </c>
      <c r="E5" s="9">
        <v>5.3830000000000003E-2</v>
      </c>
      <c r="L5" s="54"/>
      <c r="M5" s="4" t="s">
        <v>31</v>
      </c>
      <c r="N5" s="4" t="s">
        <v>66</v>
      </c>
    </row>
    <row r="6" spans="2:14">
      <c r="L6" s="1" t="s">
        <v>67</v>
      </c>
    </row>
    <row r="7" spans="2:14">
      <c r="B7" s="10" t="s">
        <v>74</v>
      </c>
      <c r="C7" s="10" t="s">
        <v>75</v>
      </c>
      <c r="D7" s="5" t="s">
        <v>14</v>
      </c>
      <c r="E7" s="5" t="s">
        <v>15</v>
      </c>
      <c r="F7" s="5" t="s">
        <v>15</v>
      </c>
      <c r="G7" s="5" t="s">
        <v>15</v>
      </c>
      <c r="H7" s="5" t="s">
        <v>15</v>
      </c>
      <c r="I7" s="5" t="s">
        <v>15</v>
      </c>
      <c r="J7" s="5" t="s">
        <v>15</v>
      </c>
      <c r="L7" s="1" t="s">
        <v>60</v>
      </c>
    </row>
    <row r="8" spans="2:14">
      <c r="B8" s="11"/>
      <c r="C8" s="5" t="s">
        <v>17</v>
      </c>
      <c r="D8" s="12" t="s">
        <v>18</v>
      </c>
      <c r="E8" s="5" t="s">
        <v>19</v>
      </c>
      <c r="F8" s="5" t="s">
        <v>20</v>
      </c>
      <c r="G8" s="5" t="s">
        <v>21</v>
      </c>
      <c r="H8" s="5" t="s">
        <v>22</v>
      </c>
      <c r="I8" s="5" t="s">
        <v>23</v>
      </c>
      <c r="J8" s="5" t="s">
        <v>71</v>
      </c>
    </row>
    <row r="9" spans="2:14">
      <c r="B9" s="13" t="s">
        <v>26</v>
      </c>
      <c r="C9" s="14" t="s">
        <v>27</v>
      </c>
      <c r="D9" s="15">
        <v>50000</v>
      </c>
      <c r="E9" s="16">
        <f>D9</f>
        <v>50000</v>
      </c>
      <c r="F9" s="16">
        <f t="shared" ref="F9:J11" si="0">E9</f>
        <v>50000</v>
      </c>
      <c r="G9" s="16">
        <f t="shared" si="0"/>
        <v>50000</v>
      </c>
      <c r="H9" s="16">
        <f t="shared" si="0"/>
        <v>50000</v>
      </c>
      <c r="I9" s="16">
        <f t="shared" si="0"/>
        <v>50000</v>
      </c>
      <c r="J9" s="16">
        <f t="shared" si="0"/>
        <v>50000</v>
      </c>
    </row>
    <row r="10" spans="2:14">
      <c r="B10" s="11" t="s">
        <v>72</v>
      </c>
      <c r="C10" s="17" t="s">
        <v>30</v>
      </c>
      <c r="D10" s="18">
        <f>D9</f>
        <v>50000</v>
      </c>
      <c r="E10" s="18">
        <f>D10</f>
        <v>50000</v>
      </c>
      <c r="F10" s="18">
        <f t="shared" si="0"/>
        <v>50000</v>
      </c>
      <c r="G10" s="18">
        <f t="shared" si="0"/>
        <v>50000</v>
      </c>
      <c r="H10" s="18">
        <f t="shared" si="0"/>
        <v>50000</v>
      </c>
      <c r="I10" s="18">
        <f t="shared" si="0"/>
        <v>50000</v>
      </c>
      <c r="J10" s="18">
        <f t="shared" si="0"/>
        <v>50000</v>
      </c>
    </row>
    <row r="11" spans="2:14" ht="18">
      <c r="B11" s="11" t="s">
        <v>32</v>
      </c>
      <c r="C11" s="5" t="s">
        <v>33</v>
      </c>
      <c r="D11" s="19">
        <v>9726</v>
      </c>
      <c r="E11" s="20">
        <f>D11</f>
        <v>9726</v>
      </c>
      <c r="F11" s="20">
        <f t="shared" si="0"/>
        <v>9726</v>
      </c>
      <c r="G11" s="20">
        <f t="shared" si="0"/>
        <v>9726</v>
      </c>
      <c r="H11" s="20">
        <f t="shared" si="0"/>
        <v>9726</v>
      </c>
      <c r="I11" s="20">
        <f t="shared" si="0"/>
        <v>9726</v>
      </c>
      <c r="J11" s="20">
        <f t="shared" si="0"/>
        <v>9726</v>
      </c>
    </row>
    <row r="12" spans="2:14" ht="18">
      <c r="B12" s="11" t="s">
        <v>34</v>
      </c>
      <c r="C12" s="5" t="s">
        <v>33</v>
      </c>
      <c r="D12" s="21" t="s">
        <v>35</v>
      </c>
      <c r="E12" s="18">
        <f>E15/0.75</f>
        <v>7431.6464346789726</v>
      </c>
      <c r="F12" s="18">
        <f t="shared" ref="F12:J12" si="1">F15/0.75</f>
        <v>7190.0297443167483</v>
      </c>
      <c r="G12" s="18">
        <f t="shared" si="1"/>
        <v>7156.6762295491271</v>
      </c>
      <c r="H12" s="18">
        <f t="shared" si="1"/>
        <v>7151.9162379980617</v>
      </c>
      <c r="I12" s="18">
        <f t="shared" si="1"/>
        <v>7151.2337363728875</v>
      </c>
      <c r="J12" s="18">
        <f t="shared" si="1"/>
        <v>7151.1358117065938</v>
      </c>
    </row>
    <row r="13" spans="2:14" ht="18">
      <c r="B13" s="11" t="s">
        <v>36</v>
      </c>
      <c r="C13" s="5" t="s">
        <v>37</v>
      </c>
      <c r="D13" s="21" t="s">
        <v>35</v>
      </c>
      <c r="E13" s="18">
        <f>E15*1.15</f>
        <v>6409.7950499106137</v>
      </c>
      <c r="F13" s="18">
        <f t="shared" ref="F13:J13" si="2">F15*1.15</f>
        <v>6201.4006544731956</v>
      </c>
      <c r="G13" s="18">
        <f t="shared" si="2"/>
        <v>6172.6332479861212</v>
      </c>
      <c r="H13" s="18">
        <f t="shared" si="2"/>
        <v>6168.5277552733278</v>
      </c>
      <c r="I13" s="18">
        <f t="shared" si="2"/>
        <v>6167.9390976216146</v>
      </c>
      <c r="J13" s="18">
        <f t="shared" si="2"/>
        <v>6167.8546375969363</v>
      </c>
    </row>
    <row r="14" spans="2:14" ht="18">
      <c r="B14" s="22" t="s">
        <v>38</v>
      </c>
      <c r="C14" s="23" t="s">
        <v>39</v>
      </c>
      <c r="D14" s="24">
        <v>15</v>
      </c>
      <c r="E14" s="6">
        <f>D14*(E15/D15)^(1/3)</f>
        <v>13.713285481471926</v>
      </c>
      <c r="F14" s="6">
        <f t="shared" ref="F14:J14" si="3">E14*(F15/E15)^(1/3)</f>
        <v>13.563030331461349</v>
      </c>
      <c r="G14" s="6">
        <f t="shared" si="3"/>
        <v>13.542025502212551</v>
      </c>
      <c r="H14" s="6">
        <f t="shared" si="3"/>
        <v>13.539022514921879</v>
      </c>
      <c r="I14" s="6">
        <f t="shared" si="3"/>
        <v>13.538591828538324</v>
      </c>
      <c r="J14" s="6">
        <f t="shared" si="3"/>
        <v>13.538530031828964</v>
      </c>
    </row>
    <row r="15" spans="2:14" ht="18" customHeight="1">
      <c r="B15" s="11" t="s">
        <v>40</v>
      </c>
      <c r="C15" s="5" t="s">
        <v>33</v>
      </c>
      <c r="D15" s="18">
        <f>0.75*D11</f>
        <v>7294.5</v>
      </c>
      <c r="E15" s="18">
        <f>(0.9999*1/D27)^(3/2)*D15</f>
        <v>5573.7348260092294</v>
      </c>
      <c r="F15" s="18">
        <f t="shared" ref="F15:J15" si="4">(0.9999*1/E27)^(3/2)*E15</f>
        <v>5392.5223082375614</v>
      </c>
      <c r="G15" s="18">
        <f t="shared" si="4"/>
        <v>5367.5071721618451</v>
      </c>
      <c r="H15" s="18">
        <f t="shared" si="4"/>
        <v>5363.937178498546</v>
      </c>
      <c r="I15" s="18">
        <f t="shared" si="4"/>
        <v>5363.4253022796656</v>
      </c>
      <c r="J15" s="18">
        <f t="shared" si="4"/>
        <v>5363.3518587799454</v>
      </c>
    </row>
    <row r="16" spans="2:14" ht="18">
      <c r="B16" s="11" t="s">
        <v>41</v>
      </c>
      <c r="C16" s="5" t="s">
        <v>33</v>
      </c>
      <c r="D16" s="18">
        <f>IF(D11&gt;=10000,0.025*D11+250,0.05*D11)</f>
        <v>486.3</v>
      </c>
      <c r="E16" s="18">
        <f t="shared" ref="E16:J22" si="5">D16</f>
        <v>486.3</v>
      </c>
      <c r="F16" s="18">
        <f t="shared" si="5"/>
        <v>486.3</v>
      </c>
      <c r="G16" s="18">
        <f t="shared" si="5"/>
        <v>486.3</v>
      </c>
      <c r="H16" s="18">
        <f t="shared" si="5"/>
        <v>486.3</v>
      </c>
      <c r="I16" s="18">
        <f t="shared" si="5"/>
        <v>486.3</v>
      </c>
      <c r="J16" s="18">
        <f t="shared" si="5"/>
        <v>486.3</v>
      </c>
    </row>
    <row r="17" spans="2:10" ht="18">
      <c r="B17" s="22" t="s">
        <v>42</v>
      </c>
      <c r="C17" s="23" t="s">
        <v>43</v>
      </c>
      <c r="D17" s="25">
        <v>180</v>
      </c>
      <c r="E17" s="26">
        <f t="shared" si="5"/>
        <v>180</v>
      </c>
      <c r="F17" s="26">
        <f t="shared" si="5"/>
        <v>180</v>
      </c>
      <c r="G17" s="26">
        <f t="shared" si="5"/>
        <v>180</v>
      </c>
      <c r="H17" s="26">
        <f t="shared" si="5"/>
        <v>180</v>
      </c>
      <c r="I17" s="26">
        <f t="shared" si="5"/>
        <v>180</v>
      </c>
      <c r="J17" s="26">
        <f t="shared" si="5"/>
        <v>180</v>
      </c>
    </row>
    <row r="18" spans="2:10" ht="18">
      <c r="B18" s="22" t="s">
        <v>44</v>
      </c>
      <c r="C18" s="23" t="s">
        <v>43</v>
      </c>
      <c r="D18" s="25">
        <v>210</v>
      </c>
      <c r="E18" s="26">
        <f t="shared" si="5"/>
        <v>210</v>
      </c>
      <c r="F18" s="26">
        <f t="shared" si="5"/>
        <v>210</v>
      </c>
      <c r="G18" s="26">
        <f t="shared" si="5"/>
        <v>210</v>
      </c>
      <c r="H18" s="26">
        <f t="shared" si="5"/>
        <v>210</v>
      </c>
      <c r="I18" s="26">
        <f t="shared" si="5"/>
        <v>210</v>
      </c>
      <c r="J18" s="26">
        <f t="shared" si="5"/>
        <v>210</v>
      </c>
    </row>
    <row r="19" spans="2:10" ht="18">
      <c r="B19" s="27" t="s">
        <v>45</v>
      </c>
      <c r="C19" s="28" t="s">
        <v>46</v>
      </c>
      <c r="D19" s="29">
        <v>3.206</v>
      </c>
      <c r="E19" s="8">
        <f t="shared" si="5"/>
        <v>3.206</v>
      </c>
      <c r="F19" s="8">
        <f t="shared" si="5"/>
        <v>3.206</v>
      </c>
      <c r="G19" s="8">
        <f t="shared" si="5"/>
        <v>3.206</v>
      </c>
      <c r="H19" s="8">
        <f t="shared" si="5"/>
        <v>3.206</v>
      </c>
      <c r="I19" s="8">
        <f t="shared" si="5"/>
        <v>3.206</v>
      </c>
      <c r="J19" s="8">
        <f t="shared" si="5"/>
        <v>3.206</v>
      </c>
    </row>
    <row r="20" spans="2:10" ht="18">
      <c r="B20" s="27" t="s">
        <v>47</v>
      </c>
      <c r="C20" s="28" t="s">
        <v>46</v>
      </c>
      <c r="D20" s="29">
        <v>3.206</v>
      </c>
      <c r="E20" s="8">
        <f t="shared" si="5"/>
        <v>3.206</v>
      </c>
      <c r="F20" s="8">
        <f t="shared" si="5"/>
        <v>3.206</v>
      </c>
      <c r="G20" s="8">
        <f t="shared" si="5"/>
        <v>3.206</v>
      </c>
      <c r="H20" s="8">
        <f t="shared" si="5"/>
        <v>3.206</v>
      </c>
      <c r="I20" s="8">
        <f t="shared" si="5"/>
        <v>3.206</v>
      </c>
      <c r="J20" s="8">
        <f t="shared" si="5"/>
        <v>3.206</v>
      </c>
    </row>
    <row r="21" spans="2:10" ht="18">
      <c r="B21" s="27" t="s">
        <v>48</v>
      </c>
      <c r="C21" s="28"/>
      <c r="D21" s="29">
        <v>1.0184</v>
      </c>
      <c r="E21" s="8">
        <f t="shared" si="5"/>
        <v>1.0184</v>
      </c>
      <c r="F21" s="8">
        <f t="shared" si="5"/>
        <v>1.0184</v>
      </c>
      <c r="G21" s="8">
        <f t="shared" si="5"/>
        <v>1.0184</v>
      </c>
      <c r="H21" s="8">
        <f t="shared" si="5"/>
        <v>1.0184</v>
      </c>
      <c r="I21" s="8">
        <f t="shared" si="5"/>
        <v>1.0184</v>
      </c>
      <c r="J21" s="8">
        <f t="shared" si="5"/>
        <v>1.0184</v>
      </c>
    </row>
    <row r="22" spans="2:10" ht="18">
      <c r="B22" s="27" t="s">
        <v>49</v>
      </c>
      <c r="C22" s="28"/>
      <c r="D22" s="29">
        <v>1</v>
      </c>
      <c r="E22" s="8">
        <f t="shared" si="5"/>
        <v>1</v>
      </c>
      <c r="F22" s="8">
        <f t="shared" si="5"/>
        <v>1</v>
      </c>
      <c r="G22" s="8">
        <f t="shared" si="5"/>
        <v>1</v>
      </c>
      <c r="H22" s="8">
        <f t="shared" si="5"/>
        <v>1</v>
      </c>
      <c r="I22" s="8">
        <f t="shared" si="5"/>
        <v>1</v>
      </c>
      <c r="J22" s="8">
        <f t="shared" si="5"/>
        <v>1</v>
      </c>
    </row>
    <row r="23" spans="2:10">
      <c r="B23" s="27" t="s">
        <v>50</v>
      </c>
      <c r="C23" s="28" t="s">
        <v>51</v>
      </c>
      <c r="D23" s="30">
        <f>(D19*D17*D15+D20*D18*D16)/(D21*D22*D10*D14)</f>
        <v>5.9399272034564019</v>
      </c>
      <c r="E23" s="30">
        <f>(E19*E17*E15+E20*E18*E16)/(E21*E22*E10*E14)</f>
        <v>5.0751771645599364</v>
      </c>
      <c r="F23" s="30">
        <f>(F19*F17*F15+F20*F18*F16)/(F21*F22*F10*F14)</f>
        <v>4.9799828842198455</v>
      </c>
      <c r="G23" s="30">
        <f t="shared" ref="G23:J23" si="6">(G19*G17*G15+G20*G18*G16)/(G21*G22*G10*G14)</f>
        <v>4.9667725535222003</v>
      </c>
      <c r="H23" s="30">
        <f t="shared" si="6"/>
        <v>4.9648858708976622</v>
      </c>
      <c r="I23" s="30">
        <f t="shared" si="6"/>
        <v>4.9646153242200031</v>
      </c>
      <c r="J23" s="30">
        <f t="shared" si="6"/>
        <v>4.9645765058593021</v>
      </c>
    </row>
    <row r="24" spans="2:10" ht="18">
      <c r="B24" s="27" t="s">
        <v>2</v>
      </c>
      <c r="C24" s="28" t="s">
        <v>51</v>
      </c>
      <c r="D24" s="30">
        <f>$C$4*D9^(-$C$5)</f>
        <v>6.2063331364282917</v>
      </c>
      <c r="E24" s="30">
        <f t="shared" ref="E24:J26" si="7">D24</f>
        <v>6.2063331364282917</v>
      </c>
      <c r="F24" s="30">
        <f t="shared" si="7"/>
        <v>6.2063331364282917</v>
      </c>
      <c r="G24" s="30">
        <f t="shared" si="7"/>
        <v>6.2063331364282917</v>
      </c>
      <c r="H24" s="30">
        <f t="shared" si="7"/>
        <v>6.2063331364282917</v>
      </c>
      <c r="I24" s="30">
        <f t="shared" si="7"/>
        <v>6.2063331364282917</v>
      </c>
      <c r="J24" s="30">
        <f t="shared" si="7"/>
        <v>6.2063331364282917</v>
      </c>
    </row>
    <row r="25" spans="2:10">
      <c r="B25" s="27" t="s">
        <v>54</v>
      </c>
      <c r="C25" s="28"/>
      <c r="D25" s="31">
        <v>0.2</v>
      </c>
      <c r="E25" s="30">
        <f t="shared" si="7"/>
        <v>0.2</v>
      </c>
      <c r="F25" s="30">
        <f t="shared" si="7"/>
        <v>0.2</v>
      </c>
      <c r="G25" s="30">
        <f t="shared" si="7"/>
        <v>0.2</v>
      </c>
      <c r="H25" s="30">
        <f t="shared" si="7"/>
        <v>0.2</v>
      </c>
      <c r="I25" s="30">
        <f t="shared" si="7"/>
        <v>0.2</v>
      </c>
      <c r="J25" s="30">
        <f t="shared" si="7"/>
        <v>0.2</v>
      </c>
    </row>
    <row r="26" spans="2:10">
      <c r="B26" s="27" t="s">
        <v>55</v>
      </c>
      <c r="C26" s="28" t="s">
        <v>51</v>
      </c>
      <c r="D26" s="30">
        <f>D24*(1-D25)</f>
        <v>4.965066509142634</v>
      </c>
      <c r="E26" s="30">
        <f t="shared" si="7"/>
        <v>4.965066509142634</v>
      </c>
      <c r="F26" s="30">
        <f t="shared" si="7"/>
        <v>4.965066509142634</v>
      </c>
      <c r="G26" s="30">
        <f t="shared" si="7"/>
        <v>4.965066509142634</v>
      </c>
      <c r="H26" s="30">
        <f t="shared" si="7"/>
        <v>4.965066509142634</v>
      </c>
      <c r="I26" s="30">
        <f t="shared" si="7"/>
        <v>4.965066509142634</v>
      </c>
      <c r="J26" s="30">
        <f t="shared" si="7"/>
        <v>4.965066509142634</v>
      </c>
    </row>
    <row r="27" spans="2:10">
      <c r="B27" s="11" t="s">
        <v>56</v>
      </c>
      <c r="C27" s="5"/>
      <c r="D27" s="30">
        <f>D23/D26</f>
        <v>1.196343934672107</v>
      </c>
      <c r="E27" s="30">
        <f>E23/E26</f>
        <v>1.0221770756171233</v>
      </c>
      <c r="F27" s="30">
        <f t="shared" ref="F27:J27" si="8">F23/F26</f>
        <v>1.0030042649075788</v>
      </c>
      <c r="G27" s="30">
        <f t="shared" si="8"/>
        <v>1.0003436095722835</v>
      </c>
      <c r="H27" s="30">
        <f t="shared" si="8"/>
        <v>0.99996361816208523</v>
      </c>
      <c r="I27" s="30">
        <f t="shared" si="8"/>
        <v>0.99990912812108357</v>
      </c>
      <c r="J27" s="30">
        <f t="shared" si="8"/>
        <v>0.99990130982486747</v>
      </c>
    </row>
    <row r="28" spans="2:10">
      <c r="B28" s="11" t="s">
        <v>73</v>
      </c>
      <c r="C28" s="5"/>
      <c r="D28" s="32" t="str">
        <f>IF(D23&lt;=D26,"Comply","Not Comply")</f>
        <v>Not Comply</v>
      </c>
      <c r="E28" s="32" t="str">
        <f t="shared" ref="E28:J28" si="9">IF(E23&lt;=E26,"Comply","Not Comply")</f>
        <v>Not Comply</v>
      </c>
      <c r="F28" s="32" t="str">
        <f t="shared" si="9"/>
        <v>Not Comply</v>
      </c>
      <c r="G28" s="32" t="str">
        <f t="shared" si="9"/>
        <v>Not Comply</v>
      </c>
      <c r="H28" s="32" t="str">
        <f t="shared" si="9"/>
        <v>Comply</v>
      </c>
      <c r="I28" s="32" t="str">
        <f t="shared" si="9"/>
        <v>Comply</v>
      </c>
      <c r="J28" s="32" t="str">
        <f t="shared" si="9"/>
        <v>Comply</v>
      </c>
    </row>
    <row r="29" spans="2:10">
      <c r="B29" s="2"/>
      <c r="C29" s="2"/>
      <c r="D29" s="2"/>
      <c r="E29" s="2"/>
      <c r="F29" s="2"/>
      <c r="G29" s="2"/>
      <c r="H29" s="2"/>
      <c r="I29" s="2"/>
      <c r="J29" s="2"/>
    </row>
    <row r="30" spans="2:10">
      <c r="B30" s="10" t="str">
        <f>B7</f>
        <v>Tanker</v>
      </c>
      <c r="C30" s="10" t="str">
        <f>C7</f>
        <v>MR</v>
      </c>
      <c r="D30" s="5" t="s">
        <v>14</v>
      </c>
      <c r="E30" s="5" t="s">
        <v>15</v>
      </c>
      <c r="F30" s="5" t="s">
        <v>15</v>
      </c>
      <c r="G30" s="5" t="s">
        <v>15</v>
      </c>
      <c r="H30" s="5" t="s">
        <v>15</v>
      </c>
      <c r="I30" s="5" t="s">
        <v>15</v>
      </c>
      <c r="J30" s="5" t="s">
        <v>15</v>
      </c>
    </row>
    <row r="31" spans="2:10">
      <c r="B31" s="11"/>
      <c r="C31" s="5" t="s">
        <v>17</v>
      </c>
      <c r="D31" s="12" t="s">
        <v>58</v>
      </c>
      <c r="E31" s="5" t="s">
        <v>19</v>
      </c>
      <c r="F31" s="5" t="s">
        <v>20</v>
      </c>
      <c r="G31" s="5" t="s">
        <v>21</v>
      </c>
      <c r="H31" s="5" t="s">
        <v>22</v>
      </c>
      <c r="I31" s="5" t="s">
        <v>23</v>
      </c>
      <c r="J31" s="5" t="s">
        <v>24</v>
      </c>
    </row>
    <row r="32" spans="2:10">
      <c r="B32" s="13" t="s">
        <v>26</v>
      </c>
      <c r="C32" s="14" t="s">
        <v>27</v>
      </c>
      <c r="D32" s="16">
        <f>D9</f>
        <v>50000</v>
      </c>
      <c r="E32" s="16">
        <f>D32</f>
        <v>50000</v>
      </c>
      <c r="F32" s="16">
        <f t="shared" ref="F32:J34" si="10">E32</f>
        <v>50000</v>
      </c>
      <c r="G32" s="16">
        <f t="shared" si="10"/>
        <v>50000</v>
      </c>
      <c r="H32" s="16">
        <f t="shared" si="10"/>
        <v>50000</v>
      </c>
      <c r="I32" s="16">
        <f t="shared" si="10"/>
        <v>50000</v>
      </c>
      <c r="J32" s="16">
        <f t="shared" si="10"/>
        <v>50000</v>
      </c>
    </row>
    <row r="33" spans="2:10">
      <c r="B33" s="11" t="s">
        <v>61</v>
      </c>
      <c r="C33" s="17" t="s">
        <v>30</v>
      </c>
      <c r="D33" s="18">
        <f>D10</f>
        <v>50000</v>
      </c>
      <c r="E33" s="18">
        <f>D33</f>
        <v>50000</v>
      </c>
      <c r="F33" s="18">
        <f t="shared" si="10"/>
        <v>50000</v>
      </c>
      <c r="G33" s="18">
        <f t="shared" si="10"/>
        <v>50000</v>
      </c>
      <c r="H33" s="18">
        <f t="shared" si="10"/>
        <v>50000</v>
      </c>
      <c r="I33" s="18">
        <f t="shared" si="10"/>
        <v>50000</v>
      </c>
      <c r="J33" s="18">
        <f t="shared" si="10"/>
        <v>50000</v>
      </c>
    </row>
    <row r="34" spans="2:10" ht="18">
      <c r="B34" s="11" t="s">
        <v>32</v>
      </c>
      <c r="C34" s="5" t="s">
        <v>33</v>
      </c>
      <c r="D34" s="18">
        <f>D11</f>
        <v>9726</v>
      </c>
      <c r="E34" s="20">
        <f>D34</f>
        <v>9726</v>
      </c>
      <c r="F34" s="20">
        <f t="shared" si="10"/>
        <v>9726</v>
      </c>
      <c r="G34" s="20">
        <f t="shared" si="10"/>
        <v>9726</v>
      </c>
      <c r="H34" s="20">
        <f t="shared" si="10"/>
        <v>9726</v>
      </c>
      <c r="I34" s="20">
        <f t="shared" si="10"/>
        <v>9726</v>
      </c>
      <c r="J34" s="20">
        <f t="shared" si="10"/>
        <v>9726</v>
      </c>
    </row>
    <row r="35" spans="2:10" ht="18">
      <c r="B35" s="11" t="s">
        <v>34</v>
      </c>
      <c r="C35" s="5" t="s">
        <v>33</v>
      </c>
      <c r="D35" s="21" t="s">
        <v>35</v>
      </c>
      <c r="E35" s="18">
        <f>E41/0.75</f>
        <v>6673.1579412424717</v>
      </c>
      <c r="F35" s="18">
        <f t="shared" ref="F35:J35" si="11">F41/0.75</f>
        <v>6355.8266044137918</v>
      </c>
      <c r="G35" s="18">
        <f t="shared" si="11"/>
        <v>6307.6678726996934</v>
      </c>
      <c r="H35" s="18">
        <f t="shared" si="11"/>
        <v>6299.9923882917574</v>
      </c>
      <c r="I35" s="18">
        <f t="shared" si="11"/>
        <v>6298.7596892284027</v>
      </c>
      <c r="J35" s="18">
        <f t="shared" si="11"/>
        <v>6298.5614726816666</v>
      </c>
    </row>
    <row r="36" spans="2:10" ht="18">
      <c r="B36" s="11" t="s">
        <v>36</v>
      </c>
      <c r="C36" s="5" t="s">
        <v>37</v>
      </c>
      <c r="D36" s="21" t="s">
        <v>35</v>
      </c>
      <c r="E36" s="18">
        <f>E41*1.15</f>
        <v>5755.5987243216314</v>
      </c>
      <c r="F36" s="18">
        <f t="shared" ref="F36:J36" si="12">F41*1.15</f>
        <v>5481.900446306895</v>
      </c>
      <c r="G36" s="18">
        <f t="shared" si="12"/>
        <v>5440.3635402034852</v>
      </c>
      <c r="H36" s="18">
        <f t="shared" si="12"/>
        <v>5433.7434349016403</v>
      </c>
      <c r="I36" s="18">
        <f t="shared" si="12"/>
        <v>5432.6802319594972</v>
      </c>
      <c r="J36" s="18">
        <f t="shared" si="12"/>
        <v>5432.5092701879366</v>
      </c>
    </row>
    <row r="37" spans="2:10" ht="18">
      <c r="B37" s="11" t="s">
        <v>62</v>
      </c>
      <c r="C37" s="5" t="s">
        <v>33</v>
      </c>
      <c r="D37" s="20">
        <f>IF(D34&gt;=10000,((D33*D50*D39/3.1144-215*250)/(190*0.75+215*0.025)),((D33*D50*D39)/(3.1144*(190*0.75+215*0.05))))</f>
        <v>9470.5681394706171</v>
      </c>
      <c r="E37" s="21" t="s">
        <v>35</v>
      </c>
      <c r="F37" s="21" t="s">
        <v>35</v>
      </c>
      <c r="G37" s="21" t="s">
        <v>35</v>
      </c>
      <c r="H37" s="21" t="s">
        <v>35</v>
      </c>
      <c r="I37" s="21" t="s">
        <v>35</v>
      </c>
      <c r="J37" s="21" t="s">
        <v>35</v>
      </c>
    </row>
    <row r="38" spans="2:10" ht="18">
      <c r="B38" s="22" t="s">
        <v>63</v>
      </c>
      <c r="C38" s="23" t="s">
        <v>39</v>
      </c>
      <c r="D38" s="33">
        <f>(D39-D40)*(D34/D37)^(1/3)</f>
        <v>13.961181354389844</v>
      </c>
      <c r="E38" s="33">
        <f>D38*(E41/D41)^(1/3)</f>
        <v>12.31368051690184</v>
      </c>
      <c r="F38" s="33">
        <f t="shared" ref="F38:J38" si="13">E38*(F41/E41)^(1/3)</f>
        <v>12.115316394956505</v>
      </c>
      <c r="G38" s="33">
        <f t="shared" si="13"/>
        <v>12.08463912911331</v>
      </c>
      <c r="H38" s="33">
        <f t="shared" si="13"/>
        <v>12.079735409297323</v>
      </c>
      <c r="I38" s="33">
        <f t="shared" si="13"/>
        <v>12.07894749036473</v>
      </c>
      <c r="J38" s="33">
        <f t="shared" si="13"/>
        <v>12.078820784341465</v>
      </c>
    </row>
    <row r="39" spans="2:10" ht="18">
      <c r="B39" s="22" t="s">
        <v>64</v>
      </c>
      <c r="C39" s="23" t="s">
        <v>39</v>
      </c>
      <c r="D39" s="34">
        <f>E4*D32^E5</f>
        <v>14.566184925195603</v>
      </c>
      <c r="E39" s="35" t="s">
        <v>35</v>
      </c>
      <c r="F39" s="35" t="s">
        <v>35</v>
      </c>
      <c r="G39" s="35" t="s">
        <v>35</v>
      </c>
      <c r="H39" s="35" t="s">
        <v>35</v>
      </c>
      <c r="I39" s="35" t="s">
        <v>35</v>
      </c>
      <c r="J39" s="35" t="s">
        <v>35</v>
      </c>
    </row>
    <row r="40" spans="2:10">
      <c r="B40" s="22" t="s">
        <v>65</v>
      </c>
      <c r="C40" s="23" t="s">
        <v>39</v>
      </c>
      <c r="D40" s="33">
        <f>MIN(1,D39*0.05)</f>
        <v>0.72830924625978022</v>
      </c>
      <c r="E40" s="35" t="s">
        <v>35</v>
      </c>
      <c r="F40" s="35" t="s">
        <v>35</v>
      </c>
      <c r="G40" s="35" t="s">
        <v>35</v>
      </c>
      <c r="H40" s="35" t="s">
        <v>35</v>
      </c>
      <c r="I40" s="35" t="s">
        <v>35</v>
      </c>
      <c r="J40" s="35" t="s">
        <v>35</v>
      </c>
    </row>
    <row r="41" spans="2:10" ht="18">
      <c r="B41" s="11" t="s">
        <v>40</v>
      </c>
      <c r="C41" s="5" t="s">
        <v>33</v>
      </c>
      <c r="D41" s="18">
        <f>0.75*D34</f>
        <v>7294.5</v>
      </c>
      <c r="E41" s="18">
        <f>(0.9999*1/D53)^(3/2)*D41</f>
        <v>5004.8684559318535</v>
      </c>
      <c r="F41" s="18">
        <f t="shared" ref="F41:J41" si="14">(0.9999*1/E53)^(3/2)*E41</f>
        <v>4766.8699533103436</v>
      </c>
      <c r="G41" s="18">
        <f t="shared" si="14"/>
        <v>4730.7509045247698</v>
      </c>
      <c r="H41" s="18">
        <f t="shared" si="14"/>
        <v>4724.994291218818</v>
      </c>
      <c r="I41" s="18">
        <f t="shared" si="14"/>
        <v>4724.0697669213023</v>
      </c>
      <c r="J41" s="18">
        <f t="shared" si="14"/>
        <v>4723.9211045112497</v>
      </c>
    </row>
    <row r="42" spans="2:10" ht="18">
      <c r="B42" s="11" t="s">
        <v>41</v>
      </c>
      <c r="C42" s="5" t="s">
        <v>33</v>
      </c>
      <c r="D42" s="18">
        <f>IF(D34&gt;=10000,0.025*D34+250,0.05*D34)</f>
        <v>486.3</v>
      </c>
      <c r="E42" s="18">
        <f t="shared" ref="E42:J48" si="15">D42</f>
        <v>486.3</v>
      </c>
      <c r="F42" s="18">
        <f t="shared" si="15"/>
        <v>486.3</v>
      </c>
      <c r="G42" s="18">
        <f t="shared" si="15"/>
        <v>486.3</v>
      </c>
      <c r="H42" s="18">
        <f t="shared" si="15"/>
        <v>486.3</v>
      </c>
      <c r="I42" s="18">
        <f t="shared" si="15"/>
        <v>486.3</v>
      </c>
      <c r="J42" s="18">
        <f t="shared" si="15"/>
        <v>486.3</v>
      </c>
    </row>
    <row r="43" spans="2:10" ht="18">
      <c r="B43" s="22" t="s">
        <v>42</v>
      </c>
      <c r="C43" s="23" t="s">
        <v>43</v>
      </c>
      <c r="D43" s="26">
        <f t="shared" ref="D43:D48" si="16">D17</f>
        <v>180</v>
      </c>
      <c r="E43" s="26">
        <f t="shared" si="15"/>
        <v>180</v>
      </c>
      <c r="F43" s="26">
        <f t="shared" si="15"/>
        <v>180</v>
      </c>
      <c r="G43" s="26">
        <f t="shared" si="15"/>
        <v>180</v>
      </c>
      <c r="H43" s="26">
        <f t="shared" si="15"/>
        <v>180</v>
      </c>
      <c r="I43" s="26">
        <f t="shared" si="15"/>
        <v>180</v>
      </c>
      <c r="J43" s="26">
        <f t="shared" si="15"/>
        <v>180</v>
      </c>
    </row>
    <row r="44" spans="2:10" ht="18">
      <c r="B44" s="22" t="s">
        <v>44</v>
      </c>
      <c r="C44" s="23" t="s">
        <v>43</v>
      </c>
      <c r="D44" s="26">
        <f t="shared" si="16"/>
        <v>210</v>
      </c>
      <c r="E44" s="26">
        <f t="shared" si="15"/>
        <v>210</v>
      </c>
      <c r="F44" s="26">
        <f t="shared" si="15"/>
        <v>210</v>
      </c>
      <c r="G44" s="26">
        <f t="shared" si="15"/>
        <v>210</v>
      </c>
      <c r="H44" s="26">
        <f t="shared" si="15"/>
        <v>210</v>
      </c>
      <c r="I44" s="26">
        <f t="shared" si="15"/>
        <v>210</v>
      </c>
      <c r="J44" s="26">
        <f t="shared" si="15"/>
        <v>210</v>
      </c>
    </row>
    <row r="45" spans="2:10" ht="18">
      <c r="B45" s="27" t="s">
        <v>45</v>
      </c>
      <c r="C45" s="28" t="s">
        <v>46</v>
      </c>
      <c r="D45" s="30">
        <f t="shared" si="16"/>
        <v>3.206</v>
      </c>
      <c r="E45" s="30">
        <f t="shared" si="15"/>
        <v>3.206</v>
      </c>
      <c r="F45" s="30">
        <f t="shared" si="15"/>
        <v>3.206</v>
      </c>
      <c r="G45" s="30">
        <f t="shared" si="15"/>
        <v>3.206</v>
      </c>
      <c r="H45" s="30">
        <f t="shared" si="15"/>
        <v>3.206</v>
      </c>
      <c r="I45" s="30">
        <f t="shared" si="15"/>
        <v>3.206</v>
      </c>
      <c r="J45" s="30">
        <f t="shared" si="15"/>
        <v>3.206</v>
      </c>
    </row>
    <row r="46" spans="2:10" ht="18">
      <c r="B46" s="27" t="s">
        <v>47</v>
      </c>
      <c r="C46" s="28" t="s">
        <v>46</v>
      </c>
      <c r="D46" s="30">
        <f t="shared" si="16"/>
        <v>3.206</v>
      </c>
      <c r="E46" s="30">
        <f t="shared" si="15"/>
        <v>3.206</v>
      </c>
      <c r="F46" s="30">
        <f t="shared" si="15"/>
        <v>3.206</v>
      </c>
      <c r="G46" s="30">
        <f t="shared" si="15"/>
        <v>3.206</v>
      </c>
      <c r="H46" s="30">
        <f t="shared" si="15"/>
        <v>3.206</v>
      </c>
      <c r="I46" s="30">
        <f t="shared" si="15"/>
        <v>3.206</v>
      </c>
      <c r="J46" s="30">
        <f t="shared" si="15"/>
        <v>3.206</v>
      </c>
    </row>
    <row r="47" spans="2:10" ht="18">
      <c r="B47" s="27" t="s">
        <v>48</v>
      </c>
      <c r="C47" s="28"/>
      <c r="D47" s="30">
        <f t="shared" si="16"/>
        <v>1.0184</v>
      </c>
      <c r="E47" s="30">
        <f t="shared" si="15"/>
        <v>1.0184</v>
      </c>
      <c r="F47" s="30">
        <f t="shared" si="15"/>
        <v>1.0184</v>
      </c>
      <c r="G47" s="30">
        <f t="shared" si="15"/>
        <v>1.0184</v>
      </c>
      <c r="H47" s="30">
        <f t="shared" si="15"/>
        <v>1.0184</v>
      </c>
      <c r="I47" s="30">
        <f t="shared" si="15"/>
        <v>1.0184</v>
      </c>
      <c r="J47" s="30">
        <f t="shared" si="15"/>
        <v>1.0184</v>
      </c>
    </row>
    <row r="48" spans="2:10" ht="18">
      <c r="B48" s="27" t="s">
        <v>49</v>
      </c>
      <c r="C48" s="28"/>
      <c r="D48" s="30">
        <f t="shared" si="16"/>
        <v>1</v>
      </c>
      <c r="E48" s="30">
        <f t="shared" si="15"/>
        <v>1</v>
      </c>
      <c r="F48" s="30">
        <f t="shared" si="15"/>
        <v>1</v>
      </c>
      <c r="G48" s="30">
        <f t="shared" si="15"/>
        <v>1</v>
      </c>
      <c r="H48" s="30">
        <f t="shared" si="15"/>
        <v>1</v>
      </c>
      <c r="I48" s="30">
        <f t="shared" si="15"/>
        <v>1</v>
      </c>
      <c r="J48" s="30">
        <f t="shared" si="15"/>
        <v>1</v>
      </c>
    </row>
    <row r="49" spans="2:10">
      <c r="B49" s="27" t="s">
        <v>50</v>
      </c>
      <c r="C49" s="28" t="s">
        <v>51</v>
      </c>
      <c r="D49" s="30">
        <f>(D45*D43*D41+D46*D44*D42)/(D47*D48*D33*D38)</f>
        <v>6.3819032064811969</v>
      </c>
      <c r="E49" s="30">
        <f>(E45*E43*E41+E46*E44*E42)/(E47*E48*E33*E38)</f>
        <v>5.1284707283625437</v>
      </c>
      <c r="F49" s="30">
        <f t="shared" ref="F49:J49" si="17">(F45*F43*F41+F46*F44*F42)/(F47*F48*F33*F38)</f>
        <v>4.9898074532373338</v>
      </c>
      <c r="G49" s="30">
        <f t="shared" si="17"/>
        <v>4.9686015149086566</v>
      </c>
      <c r="H49" s="30">
        <f t="shared" si="17"/>
        <v>4.9652177089713048</v>
      </c>
      <c r="I49" s="30">
        <f t="shared" si="17"/>
        <v>4.9646741590534846</v>
      </c>
      <c r="J49" s="30">
        <f t="shared" si="17"/>
        <v>4.9645867541967057</v>
      </c>
    </row>
    <row r="50" spans="2:10" ht="18">
      <c r="B50" s="27" t="s">
        <v>2</v>
      </c>
      <c r="C50" s="28" t="s">
        <v>51</v>
      </c>
      <c r="D50" s="30">
        <f>$C$4*(D32)^(-$C$5)</f>
        <v>6.2063331364282917</v>
      </c>
      <c r="E50" s="30">
        <f>D50</f>
        <v>6.2063331364282917</v>
      </c>
      <c r="F50" s="30">
        <f t="shared" ref="F50:J52" si="18">E50</f>
        <v>6.2063331364282917</v>
      </c>
      <c r="G50" s="30">
        <f t="shared" si="18"/>
        <v>6.2063331364282917</v>
      </c>
      <c r="H50" s="30">
        <f t="shared" si="18"/>
        <v>6.2063331364282917</v>
      </c>
      <c r="I50" s="30">
        <f t="shared" si="18"/>
        <v>6.2063331364282917</v>
      </c>
      <c r="J50" s="30">
        <f t="shared" si="18"/>
        <v>6.2063331364282917</v>
      </c>
    </row>
    <row r="51" spans="2:10">
      <c r="B51" s="27" t="s">
        <v>54</v>
      </c>
      <c r="C51" s="28"/>
      <c r="D51" s="30">
        <f>D25</f>
        <v>0.2</v>
      </c>
      <c r="E51" s="30">
        <f t="shared" ref="E51:E52" si="19">D51</f>
        <v>0.2</v>
      </c>
      <c r="F51" s="30">
        <f t="shared" si="18"/>
        <v>0.2</v>
      </c>
      <c r="G51" s="30">
        <f t="shared" si="18"/>
        <v>0.2</v>
      </c>
      <c r="H51" s="30">
        <f t="shared" si="18"/>
        <v>0.2</v>
      </c>
      <c r="I51" s="30">
        <f t="shared" si="18"/>
        <v>0.2</v>
      </c>
      <c r="J51" s="30">
        <f t="shared" si="18"/>
        <v>0.2</v>
      </c>
    </row>
    <row r="52" spans="2:10">
      <c r="B52" s="27" t="s">
        <v>55</v>
      </c>
      <c r="C52" s="28" t="s">
        <v>51</v>
      </c>
      <c r="D52" s="30">
        <f>D50*(1-D51)</f>
        <v>4.965066509142634</v>
      </c>
      <c r="E52" s="30">
        <f t="shared" si="19"/>
        <v>4.965066509142634</v>
      </c>
      <c r="F52" s="30">
        <f t="shared" si="18"/>
        <v>4.965066509142634</v>
      </c>
      <c r="G52" s="30">
        <f t="shared" si="18"/>
        <v>4.965066509142634</v>
      </c>
      <c r="H52" s="30">
        <f t="shared" si="18"/>
        <v>4.965066509142634</v>
      </c>
      <c r="I52" s="30">
        <f t="shared" si="18"/>
        <v>4.965066509142634</v>
      </c>
      <c r="J52" s="30">
        <f t="shared" si="18"/>
        <v>4.965066509142634</v>
      </c>
    </row>
    <row r="53" spans="2:10">
      <c r="B53" s="11" t="s">
        <v>56</v>
      </c>
      <c r="C53" s="5"/>
      <c r="D53" s="30">
        <f>D49/D52</f>
        <v>1.2853610711416676</v>
      </c>
      <c r="E53" s="30">
        <f>E49/E52</f>
        <v>1.0329107815411975</v>
      </c>
      <c r="F53" s="30">
        <f t="shared" ref="F53:J53" si="20">F49/F52</f>
        <v>1.0049830035608067</v>
      </c>
      <c r="G53" s="30">
        <f t="shared" si="20"/>
        <v>1.0007119755112068</v>
      </c>
      <c r="H53" s="30">
        <f t="shared" si="20"/>
        <v>1.0000304527297654</v>
      </c>
      <c r="I53" s="30">
        <f t="shared" si="20"/>
        <v>0.99992097787845802</v>
      </c>
      <c r="J53" s="30">
        <f t="shared" si="20"/>
        <v>0.99990337391351258</v>
      </c>
    </row>
    <row r="54" spans="2:10">
      <c r="B54" s="11" t="s">
        <v>57</v>
      </c>
      <c r="C54" s="11"/>
      <c r="D54" s="32" t="str">
        <f t="shared" ref="D54:J54" si="21">IF(D49&lt;=D52,"Comply","Not Comply")</f>
        <v>Not Comply</v>
      </c>
      <c r="E54" s="32" t="str">
        <f t="shared" si="21"/>
        <v>Not Comply</v>
      </c>
      <c r="F54" s="32" t="str">
        <f t="shared" si="21"/>
        <v>Not Comply</v>
      </c>
      <c r="G54" s="32" t="str">
        <f t="shared" si="21"/>
        <v>Not Comply</v>
      </c>
      <c r="H54" s="32" t="str">
        <f t="shared" si="21"/>
        <v>Not Comply</v>
      </c>
      <c r="I54" s="32" t="str">
        <f t="shared" si="21"/>
        <v>Comply</v>
      </c>
      <c r="J54" s="32" t="str">
        <f t="shared" si="21"/>
        <v>Comply</v>
      </c>
    </row>
  </sheetData>
  <mergeCells count="4">
    <mergeCell ref="B2:E2"/>
    <mergeCell ref="B3:C3"/>
    <mergeCell ref="D3:E3"/>
    <mergeCell ref="L4:L5"/>
  </mergeCells>
  <phoneticPr fontId="0" type="noConversion"/>
  <printOptions gridLines="1" gridLinesSet="0"/>
  <pageMargins left="0.75" right="0.75" top="1" bottom="1" header="0.5" footer="0.27"/>
  <pageSetup paperSize="9" orientation="portrait" r:id="rId1"/>
  <headerFooter alignWithMargins="0">
    <oddHeader>&amp;A</oddHeader>
    <oddFooter>&amp;L&amp;8s:\DR\2000.1\Techni-Excel-EEXI-calculator-INTE.XLSX&amp;R&amp;8&amp;D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54"/>
  <sheetViews>
    <sheetView topLeftCell="A28" workbookViewId="0">
      <selection activeCell="L11" sqref="L11"/>
    </sheetView>
  </sheetViews>
  <sheetFormatPr defaultColWidth="9" defaultRowHeight="15"/>
  <cols>
    <col min="1" max="1" width="9" style="1"/>
    <col min="2" max="2" width="16.28515625" style="1" customWidth="1"/>
    <col min="3" max="3" width="14.5703125" style="1" customWidth="1"/>
    <col min="4" max="10" width="12.5703125" style="1" customWidth="1"/>
    <col min="11" max="11" width="9" style="1"/>
    <col min="12" max="12" width="28" style="1" customWidth="1"/>
    <col min="13" max="13" width="36.140625" style="1" customWidth="1"/>
    <col min="14" max="14" width="15.42578125" style="1" customWidth="1"/>
    <col min="15" max="16384" width="9" style="1"/>
  </cols>
  <sheetData>
    <row r="2" spans="2:14" ht="18.75">
      <c r="B2" s="50" t="s">
        <v>0</v>
      </c>
      <c r="C2" s="51"/>
      <c r="D2" s="51"/>
      <c r="E2" s="51"/>
      <c r="H2" s="2"/>
      <c r="I2" s="2"/>
      <c r="J2" s="2"/>
      <c r="L2" s="3" t="s">
        <v>1</v>
      </c>
    </row>
    <row r="3" spans="2:14" ht="30">
      <c r="B3" s="52" t="s">
        <v>2</v>
      </c>
      <c r="C3" s="53"/>
      <c r="D3" s="52" t="s">
        <v>3</v>
      </c>
      <c r="E3" s="53"/>
      <c r="H3" s="2"/>
      <c r="I3" s="2"/>
      <c r="J3" s="2"/>
      <c r="L3" s="46" t="s">
        <v>4</v>
      </c>
      <c r="M3" s="46" t="s">
        <v>5</v>
      </c>
      <c r="N3" s="46" t="s">
        <v>6</v>
      </c>
    </row>
    <row r="4" spans="2:14">
      <c r="B4" s="45" t="s">
        <v>7</v>
      </c>
      <c r="C4" s="6">
        <v>1218.8</v>
      </c>
      <c r="D4" s="45" t="s">
        <v>8</v>
      </c>
      <c r="E4" s="7">
        <v>8.1357999999999997</v>
      </c>
      <c r="H4" s="2"/>
      <c r="I4" s="2"/>
      <c r="J4" s="2"/>
      <c r="L4" s="54" t="s">
        <v>28</v>
      </c>
      <c r="M4" s="46" t="s">
        <v>29</v>
      </c>
      <c r="N4" s="46">
        <v>20</v>
      </c>
    </row>
    <row r="5" spans="2:14" ht="30">
      <c r="B5" s="45" t="s">
        <v>9</v>
      </c>
      <c r="C5" s="8">
        <v>0.48799999999999999</v>
      </c>
      <c r="D5" s="45" t="s">
        <v>10</v>
      </c>
      <c r="E5" s="9">
        <v>5.3830000000000003E-2</v>
      </c>
      <c r="L5" s="54"/>
      <c r="M5" s="46" t="s">
        <v>31</v>
      </c>
      <c r="N5" s="46" t="s">
        <v>66</v>
      </c>
    </row>
    <row r="6" spans="2:14">
      <c r="L6" s="1" t="s">
        <v>67</v>
      </c>
    </row>
    <row r="7" spans="2:14">
      <c r="B7" s="10" t="s">
        <v>0</v>
      </c>
      <c r="C7" s="10" t="s">
        <v>137</v>
      </c>
      <c r="D7" s="45" t="s">
        <v>14</v>
      </c>
      <c r="E7" s="45" t="s">
        <v>15</v>
      </c>
      <c r="F7" s="45" t="s">
        <v>15</v>
      </c>
      <c r="G7" s="45" t="s">
        <v>15</v>
      </c>
      <c r="H7" s="45" t="s">
        <v>15</v>
      </c>
      <c r="I7" s="45" t="s">
        <v>15</v>
      </c>
      <c r="J7" s="45" t="s">
        <v>15</v>
      </c>
      <c r="L7" s="1" t="s">
        <v>60</v>
      </c>
    </row>
    <row r="8" spans="2:14">
      <c r="B8" s="11"/>
      <c r="C8" s="45" t="s">
        <v>17</v>
      </c>
      <c r="D8" s="12" t="s">
        <v>18</v>
      </c>
      <c r="E8" s="45" t="s">
        <v>19</v>
      </c>
      <c r="F8" s="45" t="s">
        <v>20</v>
      </c>
      <c r="G8" s="45" t="s">
        <v>21</v>
      </c>
      <c r="H8" s="45" t="s">
        <v>22</v>
      </c>
      <c r="I8" s="45" t="s">
        <v>23</v>
      </c>
      <c r="J8" s="45" t="s">
        <v>24</v>
      </c>
    </row>
    <row r="9" spans="2:14">
      <c r="B9" s="13" t="s">
        <v>26</v>
      </c>
      <c r="C9" s="14" t="s">
        <v>27</v>
      </c>
      <c r="D9" s="15">
        <v>50000</v>
      </c>
      <c r="E9" s="16">
        <f>D9</f>
        <v>50000</v>
      </c>
      <c r="F9" s="16">
        <f t="shared" ref="F9:J11" si="0">E9</f>
        <v>50000</v>
      </c>
      <c r="G9" s="16">
        <f t="shared" si="0"/>
        <v>50000</v>
      </c>
      <c r="H9" s="16">
        <f t="shared" si="0"/>
        <v>50000</v>
      </c>
      <c r="I9" s="16">
        <f t="shared" si="0"/>
        <v>50000</v>
      </c>
      <c r="J9" s="16">
        <f t="shared" si="0"/>
        <v>50000</v>
      </c>
    </row>
    <row r="10" spans="2:14">
      <c r="B10" s="11" t="s">
        <v>72</v>
      </c>
      <c r="C10" s="17" t="s">
        <v>30</v>
      </c>
      <c r="D10" s="18">
        <f>D9</f>
        <v>50000</v>
      </c>
      <c r="E10" s="18">
        <f>D10</f>
        <v>50000</v>
      </c>
      <c r="F10" s="18">
        <f t="shared" si="0"/>
        <v>50000</v>
      </c>
      <c r="G10" s="18">
        <f t="shared" si="0"/>
        <v>50000</v>
      </c>
      <c r="H10" s="18">
        <f t="shared" si="0"/>
        <v>50000</v>
      </c>
      <c r="I10" s="18">
        <f t="shared" si="0"/>
        <v>50000</v>
      </c>
      <c r="J10" s="18">
        <f t="shared" si="0"/>
        <v>50000</v>
      </c>
    </row>
    <row r="11" spans="2:14" ht="18">
      <c r="B11" s="11" t="s">
        <v>32</v>
      </c>
      <c r="C11" s="45" t="s">
        <v>33</v>
      </c>
      <c r="D11" s="19">
        <v>9726</v>
      </c>
      <c r="E11" s="20">
        <f>D11</f>
        <v>9726</v>
      </c>
      <c r="F11" s="20">
        <f t="shared" si="0"/>
        <v>9726</v>
      </c>
      <c r="G11" s="20">
        <f t="shared" si="0"/>
        <v>9726</v>
      </c>
      <c r="H11" s="20">
        <f t="shared" si="0"/>
        <v>9726</v>
      </c>
      <c r="I11" s="20">
        <f t="shared" si="0"/>
        <v>9726</v>
      </c>
      <c r="J11" s="20">
        <f t="shared" si="0"/>
        <v>9726</v>
      </c>
    </row>
    <row r="12" spans="2:14" ht="18">
      <c r="B12" s="11" t="s">
        <v>34</v>
      </c>
      <c r="C12" s="45" t="s">
        <v>33</v>
      </c>
      <c r="D12" s="21" t="s">
        <v>35</v>
      </c>
      <c r="E12" s="18">
        <f>E15/0.75</f>
        <v>8149.4823519488791</v>
      </c>
      <c r="F12" s="18">
        <f t="shared" ref="F12:J12" si="1">F15/0.75</f>
        <v>7981.7586058694224</v>
      </c>
      <c r="G12" s="18">
        <f t="shared" si="1"/>
        <v>7960.436632685487</v>
      </c>
      <c r="H12" s="18">
        <f t="shared" si="1"/>
        <v>7957.6686756265617</v>
      </c>
      <c r="I12" s="18">
        <f t="shared" si="1"/>
        <v>7957.3083776787671</v>
      </c>
      <c r="J12" s="18">
        <f t="shared" si="1"/>
        <v>7957.2614621723378</v>
      </c>
    </row>
    <row r="13" spans="2:14" ht="18">
      <c r="B13" s="11" t="s">
        <v>36</v>
      </c>
      <c r="C13" s="45" t="s">
        <v>37</v>
      </c>
      <c r="D13" s="21" t="s">
        <v>35</v>
      </c>
      <c r="E13" s="18">
        <f>E15*1.15</f>
        <v>7028.9285285559081</v>
      </c>
      <c r="F13" s="18">
        <f t="shared" ref="F13:J13" si="2">F15*1.15</f>
        <v>6884.2667975623763</v>
      </c>
      <c r="G13" s="18">
        <f t="shared" si="2"/>
        <v>6865.8765956912321</v>
      </c>
      <c r="H13" s="18">
        <f t="shared" si="2"/>
        <v>6863.4892327279085</v>
      </c>
      <c r="I13" s="18">
        <f t="shared" si="2"/>
        <v>6863.1784757479354</v>
      </c>
      <c r="J13" s="18">
        <f t="shared" si="2"/>
        <v>6863.1380111236413</v>
      </c>
    </row>
    <row r="14" spans="2:14" ht="18">
      <c r="B14" s="22" t="s">
        <v>38</v>
      </c>
      <c r="C14" s="23" t="s">
        <v>39</v>
      </c>
      <c r="D14" s="24">
        <v>15</v>
      </c>
      <c r="E14" s="6">
        <f>D14*(E15/D15)^(1/3)</f>
        <v>14.141316589826321</v>
      </c>
      <c r="F14" s="6">
        <f t="shared" ref="F14:J14" si="3">E14*(F15/E15)^(1/3)</f>
        <v>14.043629619027522</v>
      </c>
      <c r="G14" s="6">
        <f t="shared" si="3"/>
        <v>14.031113374650692</v>
      </c>
      <c r="H14" s="6">
        <f t="shared" si="3"/>
        <v>14.029486913547924</v>
      </c>
      <c r="I14" s="6">
        <f t="shared" si="3"/>
        <v>14.029275173491889</v>
      </c>
      <c r="J14" s="6">
        <f t="shared" si="3"/>
        <v>14.029247601696174</v>
      </c>
    </row>
    <row r="15" spans="2:14" ht="18" customHeight="1">
      <c r="B15" s="11" t="s">
        <v>40</v>
      </c>
      <c r="C15" s="45" t="s">
        <v>33</v>
      </c>
      <c r="D15" s="18">
        <f>0.75*D11</f>
        <v>7294.5</v>
      </c>
      <c r="E15" s="18">
        <f>(0.9999*1/D27)^(3/2)*D15</f>
        <v>6112.1117639616596</v>
      </c>
      <c r="F15" s="18">
        <f t="shared" ref="F15:J15" si="4">(0.9999*1/E27)^(3/2)*E15</f>
        <v>5986.318954402067</v>
      </c>
      <c r="G15" s="18">
        <f t="shared" si="4"/>
        <v>5970.3274745141152</v>
      </c>
      <c r="H15" s="18">
        <f t="shared" si="4"/>
        <v>5968.2515067199211</v>
      </c>
      <c r="I15" s="18">
        <f t="shared" si="4"/>
        <v>5967.9812832590751</v>
      </c>
      <c r="J15" s="18">
        <f t="shared" si="4"/>
        <v>5967.9460966292536</v>
      </c>
    </row>
    <row r="16" spans="2:14" ht="18">
      <c r="B16" s="11" t="s">
        <v>41</v>
      </c>
      <c r="C16" s="45" t="s">
        <v>33</v>
      </c>
      <c r="D16" s="18">
        <f>IF(D11&gt;=10000,0.025*D11+250,0.05*D11)</f>
        <v>486.3</v>
      </c>
      <c r="E16" s="18">
        <f t="shared" ref="E16:J22" si="5">D16</f>
        <v>486.3</v>
      </c>
      <c r="F16" s="18">
        <f t="shared" si="5"/>
        <v>486.3</v>
      </c>
      <c r="G16" s="18">
        <f t="shared" si="5"/>
        <v>486.3</v>
      </c>
      <c r="H16" s="18">
        <f t="shared" si="5"/>
        <v>486.3</v>
      </c>
      <c r="I16" s="18">
        <f t="shared" si="5"/>
        <v>486.3</v>
      </c>
      <c r="J16" s="18">
        <f t="shared" si="5"/>
        <v>486.3</v>
      </c>
    </row>
    <row r="17" spans="2:10" ht="18">
      <c r="B17" s="22" t="s">
        <v>42</v>
      </c>
      <c r="C17" s="23" t="s">
        <v>43</v>
      </c>
      <c r="D17" s="25">
        <v>180</v>
      </c>
      <c r="E17" s="26">
        <f t="shared" si="5"/>
        <v>180</v>
      </c>
      <c r="F17" s="26">
        <f t="shared" si="5"/>
        <v>180</v>
      </c>
      <c r="G17" s="26">
        <f t="shared" si="5"/>
        <v>180</v>
      </c>
      <c r="H17" s="26">
        <f t="shared" si="5"/>
        <v>180</v>
      </c>
      <c r="I17" s="26">
        <f t="shared" si="5"/>
        <v>180</v>
      </c>
      <c r="J17" s="26">
        <f t="shared" si="5"/>
        <v>180</v>
      </c>
    </row>
    <row r="18" spans="2:10" ht="18">
      <c r="B18" s="22" t="s">
        <v>44</v>
      </c>
      <c r="C18" s="23" t="s">
        <v>43</v>
      </c>
      <c r="D18" s="25">
        <v>210</v>
      </c>
      <c r="E18" s="26">
        <f t="shared" si="5"/>
        <v>210</v>
      </c>
      <c r="F18" s="26">
        <f t="shared" si="5"/>
        <v>210</v>
      </c>
      <c r="G18" s="26">
        <f t="shared" si="5"/>
        <v>210</v>
      </c>
      <c r="H18" s="26">
        <f t="shared" si="5"/>
        <v>210</v>
      </c>
      <c r="I18" s="26">
        <f t="shared" si="5"/>
        <v>210</v>
      </c>
      <c r="J18" s="26">
        <f t="shared" si="5"/>
        <v>210</v>
      </c>
    </row>
    <row r="19" spans="2:10" ht="18">
      <c r="B19" s="27" t="s">
        <v>45</v>
      </c>
      <c r="C19" s="28" t="s">
        <v>46</v>
      </c>
      <c r="D19" s="29">
        <v>3.206</v>
      </c>
      <c r="E19" s="8">
        <f t="shared" si="5"/>
        <v>3.206</v>
      </c>
      <c r="F19" s="8">
        <f t="shared" si="5"/>
        <v>3.206</v>
      </c>
      <c r="G19" s="8">
        <f t="shared" si="5"/>
        <v>3.206</v>
      </c>
      <c r="H19" s="8">
        <f t="shared" si="5"/>
        <v>3.206</v>
      </c>
      <c r="I19" s="8">
        <f t="shared" si="5"/>
        <v>3.206</v>
      </c>
      <c r="J19" s="8">
        <f t="shared" si="5"/>
        <v>3.206</v>
      </c>
    </row>
    <row r="20" spans="2:10" ht="18">
      <c r="B20" s="27" t="s">
        <v>47</v>
      </c>
      <c r="C20" s="28" t="s">
        <v>46</v>
      </c>
      <c r="D20" s="29">
        <v>3.206</v>
      </c>
      <c r="E20" s="8">
        <f t="shared" si="5"/>
        <v>3.206</v>
      </c>
      <c r="F20" s="8">
        <f t="shared" si="5"/>
        <v>3.206</v>
      </c>
      <c r="G20" s="8">
        <f t="shared" si="5"/>
        <v>3.206</v>
      </c>
      <c r="H20" s="8">
        <f t="shared" si="5"/>
        <v>3.206</v>
      </c>
      <c r="I20" s="8">
        <f t="shared" si="5"/>
        <v>3.206</v>
      </c>
      <c r="J20" s="8">
        <f t="shared" si="5"/>
        <v>3.206</v>
      </c>
    </row>
    <row r="21" spans="2:10" ht="18">
      <c r="B21" s="27" t="s">
        <v>48</v>
      </c>
      <c r="C21" s="28"/>
      <c r="D21" s="29">
        <v>1.0184</v>
      </c>
      <c r="E21" s="8">
        <f t="shared" si="5"/>
        <v>1.0184</v>
      </c>
      <c r="F21" s="8">
        <f t="shared" si="5"/>
        <v>1.0184</v>
      </c>
      <c r="G21" s="8">
        <f t="shared" si="5"/>
        <v>1.0184</v>
      </c>
      <c r="H21" s="8">
        <f t="shared" si="5"/>
        <v>1.0184</v>
      </c>
      <c r="I21" s="8">
        <f t="shared" si="5"/>
        <v>1.0184</v>
      </c>
      <c r="J21" s="8">
        <f t="shared" si="5"/>
        <v>1.0184</v>
      </c>
    </row>
    <row r="22" spans="2:10" ht="18">
      <c r="B22" s="27" t="s">
        <v>49</v>
      </c>
      <c r="C22" s="28"/>
      <c r="D22" s="29">
        <v>1.0633999999999999</v>
      </c>
      <c r="E22" s="8">
        <f t="shared" si="5"/>
        <v>1.0633999999999999</v>
      </c>
      <c r="F22" s="8">
        <f t="shared" si="5"/>
        <v>1.0633999999999999</v>
      </c>
      <c r="G22" s="8">
        <f t="shared" si="5"/>
        <v>1.0633999999999999</v>
      </c>
      <c r="H22" s="8">
        <f t="shared" si="5"/>
        <v>1.0633999999999999</v>
      </c>
      <c r="I22" s="8">
        <f t="shared" si="5"/>
        <v>1.0633999999999999</v>
      </c>
      <c r="J22" s="8">
        <f t="shared" si="5"/>
        <v>1.0633999999999999</v>
      </c>
    </row>
    <row r="23" spans="2:10">
      <c r="B23" s="27" t="s">
        <v>50</v>
      </c>
      <c r="C23" s="28" t="s">
        <v>51</v>
      </c>
      <c r="D23" s="30">
        <f>(D19*D17*D15+D20*D18*D16)/(D21*D22*D10*D14)</f>
        <v>5.5857882296938159</v>
      </c>
      <c r="E23" s="30">
        <f>(E19*E17*E15+E20*E18*E16)/(E21*E22*E10*E14)</f>
        <v>5.0338769477805618</v>
      </c>
      <c r="F23" s="30">
        <f>(F19*F17*F15+F20*F18*F16)/(F21*F22*F10*F14)</f>
        <v>4.9734310934473616</v>
      </c>
      <c r="G23" s="30">
        <f t="shared" ref="G23:J23" si="6">(G19*G17*G15+G20*G18*G16)/(G21*G22*G10*G14)</f>
        <v>4.9657211704718662</v>
      </c>
      <c r="H23" s="30">
        <f t="shared" si="6"/>
        <v>4.964719861447402</v>
      </c>
      <c r="I23" s="30">
        <f t="shared" si="6"/>
        <v>4.9645895163314249</v>
      </c>
      <c r="J23" s="30">
        <f t="shared" si="6"/>
        <v>4.9645725435689867</v>
      </c>
    </row>
    <row r="24" spans="2:10" ht="18">
      <c r="B24" s="27" t="s">
        <v>2</v>
      </c>
      <c r="C24" s="28" t="s">
        <v>51</v>
      </c>
      <c r="D24" s="30">
        <f>$C$4*D9^(-$C$5)</f>
        <v>6.2063331364282917</v>
      </c>
      <c r="E24" s="30">
        <f t="shared" ref="E24:J26" si="7">D24</f>
        <v>6.2063331364282917</v>
      </c>
      <c r="F24" s="30">
        <f t="shared" si="7"/>
        <v>6.2063331364282917</v>
      </c>
      <c r="G24" s="30">
        <f t="shared" si="7"/>
        <v>6.2063331364282917</v>
      </c>
      <c r="H24" s="30">
        <f t="shared" si="7"/>
        <v>6.2063331364282917</v>
      </c>
      <c r="I24" s="30">
        <f t="shared" si="7"/>
        <v>6.2063331364282917</v>
      </c>
      <c r="J24" s="30">
        <f t="shared" si="7"/>
        <v>6.2063331364282917</v>
      </c>
    </row>
    <row r="25" spans="2:10">
      <c r="B25" s="27" t="s">
        <v>54</v>
      </c>
      <c r="C25" s="28"/>
      <c r="D25" s="31">
        <v>0.2</v>
      </c>
      <c r="E25" s="30">
        <f t="shared" si="7"/>
        <v>0.2</v>
      </c>
      <c r="F25" s="30">
        <f t="shared" si="7"/>
        <v>0.2</v>
      </c>
      <c r="G25" s="30">
        <f t="shared" si="7"/>
        <v>0.2</v>
      </c>
      <c r="H25" s="30">
        <f t="shared" si="7"/>
        <v>0.2</v>
      </c>
      <c r="I25" s="30">
        <f t="shared" si="7"/>
        <v>0.2</v>
      </c>
      <c r="J25" s="30">
        <f t="shared" si="7"/>
        <v>0.2</v>
      </c>
    </row>
    <row r="26" spans="2:10">
      <c r="B26" s="27" t="s">
        <v>55</v>
      </c>
      <c r="C26" s="28" t="s">
        <v>51</v>
      </c>
      <c r="D26" s="30">
        <f>D24*(1-D25)</f>
        <v>4.965066509142634</v>
      </c>
      <c r="E26" s="30">
        <f t="shared" si="7"/>
        <v>4.965066509142634</v>
      </c>
      <c r="F26" s="30">
        <f t="shared" si="7"/>
        <v>4.965066509142634</v>
      </c>
      <c r="G26" s="30">
        <f t="shared" si="7"/>
        <v>4.965066509142634</v>
      </c>
      <c r="H26" s="30">
        <f t="shared" si="7"/>
        <v>4.965066509142634</v>
      </c>
      <c r="I26" s="30">
        <f t="shared" si="7"/>
        <v>4.965066509142634</v>
      </c>
      <c r="J26" s="30">
        <f t="shared" si="7"/>
        <v>4.965066509142634</v>
      </c>
    </row>
    <row r="27" spans="2:10">
      <c r="B27" s="11" t="s">
        <v>56</v>
      </c>
      <c r="C27" s="45"/>
      <c r="D27" s="30">
        <f>D23/D26</f>
        <v>1.1250178057853182</v>
      </c>
      <c r="E27" s="30">
        <f>E23/E26</f>
        <v>1.0138589157891884</v>
      </c>
      <c r="F27" s="30">
        <f t="shared" ref="F27:J27" si="8">F23/F26</f>
        <v>1.001684687262361</v>
      </c>
      <c r="G27" s="30">
        <f t="shared" si="8"/>
        <v>1.0001318534863586</v>
      </c>
      <c r="H27" s="30">
        <f t="shared" si="8"/>
        <v>0.99993018266833011</v>
      </c>
      <c r="I27" s="30">
        <f t="shared" si="8"/>
        <v>0.99990393022725255</v>
      </c>
      <c r="J27" s="30">
        <f t="shared" si="8"/>
        <v>0.99990051179118389</v>
      </c>
    </row>
    <row r="28" spans="2:10">
      <c r="B28" s="11" t="s">
        <v>57</v>
      </c>
      <c r="C28" s="45"/>
      <c r="D28" s="32" t="str">
        <f>IF(D23&lt;=D26,"Comply","Not Comply")</f>
        <v>Not Comply</v>
      </c>
      <c r="E28" s="32" t="str">
        <f t="shared" ref="E28:J28" si="9">IF(E23&lt;=E26,"Comply","Not Comply")</f>
        <v>Not Comply</v>
      </c>
      <c r="F28" s="32" t="str">
        <f t="shared" si="9"/>
        <v>Not Comply</v>
      </c>
      <c r="G28" s="32" t="str">
        <f t="shared" si="9"/>
        <v>Not Comply</v>
      </c>
      <c r="H28" s="32" t="str">
        <f t="shared" si="9"/>
        <v>Comply</v>
      </c>
      <c r="I28" s="32" t="str">
        <f t="shared" si="9"/>
        <v>Comply</v>
      </c>
      <c r="J28" s="32" t="str">
        <f t="shared" si="9"/>
        <v>Comply</v>
      </c>
    </row>
    <row r="29" spans="2:10">
      <c r="B29" s="2"/>
      <c r="C29" s="2"/>
      <c r="D29" s="2"/>
      <c r="E29" s="2"/>
      <c r="F29" s="2"/>
      <c r="G29" s="2"/>
      <c r="H29" s="2"/>
      <c r="I29" s="2"/>
      <c r="J29" s="2"/>
    </row>
    <row r="30" spans="2:10">
      <c r="B30" s="10" t="str">
        <f>B7</f>
        <v>Tanker</v>
      </c>
      <c r="C30" s="10" t="str">
        <f>C7</f>
        <v>Chemical</v>
      </c>
      <c r="D30" s="45" t="s">
        <v>14</v>
      </c>
      <c r="E30" s="45" t="s">
        <v>15</v>
      </c>
      <c r="F30" s="45" t="s">
        <v>15</v>
      </c>
      <c r="G30" s="45" t="s">
        <v>15</v>
      </c>
      <c r="H30" s="45" t="s">
        <v>15</v>
      </c>
      <c r="I30" s="45" t="s">
        <v>15</v>
      </c>
      <c r="J30" s="45" t="s">
        <v>15</v>
      </c>
    </row>
    <row r="31" spans="2:10">
      <c r="B31" s="11"/>
      <c r="C31" s="45" t="s">
        <v>17</v>
      </c>
      <c r="D31" s="12" t="s">
        <v>58</v>
      </c>
      <c r="E31" s="45" t="s">
        <v>19</v>
      </c>
      <c r="F31" s="45" t="s">
        <v>20</v>
      </c>
      <c r="G31" s="45" t="s">
        <v>21</v>
      </c>
      <c r="H31" s="45" t="s">
        <v>22</v>
      </c>
      <c r="I31" s="45" t="s">
        <v>23</v>
      </c>
      <c r="J31" s="45" t="s">
        <v>24</v>
      </c>
    </row>
    <row r="32" spans="2:10">
      <c r="B32" s="13" t="s">
        <v>26</v>
      </c>
      <c r="C32" s="14" t="s">
        <v>27</v>
      </c>
      <c r="D32" s="16">
        <f>D9</f>
        <v>50000</v>
      </c>
      <c r="E32" s="16">
        <f>D32</f>
        <v>50000</v>
      </c>
      <c r="F32" s="16">
        <f t="shared" ref="F32:J34" si="10">E32</f>
        <v>50000</v>
      </c>
      <c r="G32" s="16">
        <f t="shared" si="10"/>
        <v>50000</v>
      </c>
      <c r="H32" s="16">
        <f t="shared" si="10"/>
        <v>50000</v>
      </c>
      <c r="I32" s="16">
        <f t="shared" si="10"/>
        <v>50000</v>
      </c>
      <c r="J32" s="16">
        <f t="shared" si="10"/>
        <v>50000</v>
      </c>
    </row>
    <row r="33" spans="2:10">
      <c r="B33" s="11" t="s">
        <v>61</v>
      </c>
      <c r="C33" s="17" t="s">
        <v>30</v>
      </c>
      <c r="D33" s="18">
        <f>D10</f>
        <v>50000</v>
      </c>
      <c r="E33" s="18">
        <f>D33</f>
        <v>50000</v>
      </c>
      <c r="F33" s="18">
        <f t="shared" si="10"/>
        <v>50000</v>
      </c>
      <c r="G33" s="18">
        <f t="shared" si="10"/>
        <v>50000</v>
      </c>
      <c r="H33" s="18">
        <f t="shared" si="10"/>
        <v>50000</v>
      </c>
      <c r="I33" s="18">
        <f t="shared" si="10"/>
        <v>50000</v>
      </c>
      <c r="J33" s="18">
        <f t="shared" si="10"/>
        <v>50000</v>
      </c>
    </row>
    <row r="34" spans="2:10" ht="18">
      <c r="B34" s="11" t="s">
        <v>32</v>
      </c>
      <c r="C34" s="45" t="s">
        <v>33</v>
      </c>
      <c r="D34" s="18">
        <f>D11</f>
        <v>9726</v>
      </c>
      <c r="E34" s="20">
        <f>D34</f>
        <v>9726</v>
      </c>
      <c r="F34" s="20">
        <f t="shared" si="10"/>
        <v>9726</v>
      </c>
      <c r="G34" s="20">
        <f t="shared" si="10"/>
        <v>9726</v>
      </c>
      <c r="H34" s="20">
        <f t="shared" si="10"/>
        <v>9726</v>
      </c>
      <c r="I34" s="20">
        <f t="shared" si="10"/>
        <v>9726</v>
      </c>
      <c r="J34" s="20">
        <f t="shared" si="10"/>
        <v>9726</v>
      </c>
    </row>
    <row r="35" spans="2:10" ht="18">
      <c r="B35" s="11" t="s">
        <v>34</v>
      </c>
      <c r="C35" s="45" t="s">
        <v>33</v>
      </c>
      <c r="D35" s="21" t="s">
        <v>35</v>
      </c>
      <c r="E35" s="18">
        <f>E41/0.75</f>
        <v>7317.7301089233333</v>
      </c>
      <c r="F35" s="18">
        <f t="shared" ref="F35:J35" si="11">F41/0.75</f>
        <v>7064.5713041489953</v>
      </c>
      <c r="G35" s="18">
        <f t="shared" si="11"/>
        <v>7029.1425838080613</v>
      </c>
      <c r="H35" s="18">
        <f t="shared" si="11"/>
        <v>7024.00560769809</v>
      </c>
      <c r="I35" s="18">
        <f t="shared" si="11"/>
        <v>7023.2569945967471</v>
      </c>
      <c r="J35" s="18">
        <f t="shared" si="11"/>
        <v>7023.1478186685699</v>
      </c>
    </row>
    <row r="36" spans="2:10" ht="18">
      <c r="B36" s="11" t="s">
        <v>36</v>
      </c>
      <c r="C36" s="45" t="s">
        <v>37</v>
      </c>
      <c r="D36" s="21" t="s">
        <v>35</v>
      </c>
      <c r="E36" s="18">
        <f>E41*1.15</f>
        <v>6311.5422189463743</v>
      </c>
      <c r="F36" s="18">
        <f t="shared" ref="F36:J36" si="12">F41*1.15</f>
        <v>6093.1927498285086</v>
      </c>
      <c r="G36" s="18">
        <f t="shared" si="12"/>
        <v>6062.635478534452</v>
      </c>
      <c r="H36" s="18">
        <f t="shared" si="12"/>
        <v>6058.204836639602</v>
      </c>
      <c r="I36" s="18">
        <f t="shared" si="12"/>
        <v>6057.5591578396934</v>
      </c>
      <c r="J36" s="18">
        <f t="shared" si="12"/>
        <v>6057.4649936016413</v>
      </c>
    </row>
    <row r="37" spans="2:10" ht="18">
      <c r="B37" s="11" t="s">
        <v>62</v>
      </c>
      <c r="C37" s="45" t="s">
        <v>33</v>
      </c>
      <c r="D37" s="20">
        <f>IF(D34&gt;=10000,((D33*D50*D39/3.1144-215*250)/(190*0.75+215*0.025)),((D33*D50*D39)/(3.1144*(190*0.75+215*0.05))))</f>
        <v>9470.5681394706171</v>
      </c>
      <c r="E37" s="21" t="s">
        <v>35</v>
      </c>
      <c r="F37" s="21" t="s">
        <v>35</v>
      </c>
      <c r="G37" s="21" t="s">
        <v>35</v>
      </c>
      <c r="H37" s="21" t="s">
        <v>35</v>
      </c>
      <c r="I37" s="21" t="s">
        <v>35</v>
      </c>
      <c r="J37" s="21" t="s">
        <v>35</v>
      </c>
    </row>
    <row r="38" spans="2:10" ht="18">
      <c r="B38" s="22" t="s">
        <v>63</v>
      </c>
      <c r="C38" s="23" t="s">
        <v>39</v>
      </c>
      <c r="D38" s="33">
        <f>(D39-D40)*(D34/D37)^(1/3)</f>
        <v>13.961181354389844</v>
      </c>
      <c r="E38" s="33">
        <f>D38*(E41/D41)^(1/3)</f>
        <v>12.698025926081327</v>
      </c>
      <c r="F38" s="33">
        <f t="shared" ref="F38:J38" si="13">E38*(F41/E41)^(1/3)</f>
        <v>12.549873583413666</v>
      </c>
      <c r="G38" s="33">
        <f t="shared" si="13"/>
        <v>12.528859272033337</v>
      </c>
      <c r="H38" s="33">
        <f t="shared" si="13"/>
        <v>12.525806451350835</v>
      </c>
      <c r="I38" s="33">
        <f t="shared" si="13"/>
        <v>12.525361438609846</v>
      </c>
      <c r="J38" s="33">
        <f t="shared" si="13"/>
        <v>12.525296536383445</v>
      </c>
    </row>
    <row r="39" spans="2:10" ht="18">
      <c r="B39" s="22" t="s">
        <v>64</v>
      </c>
      <c r="C39" s="23" t="s">
        <v>39</v>
      </c>
      <c r="D39" s="34">
        <f>E4*D32^E5</f>
        <v>14.566184925195603</v>
      </c>
      <c r="E39" s="35" t="s">
        <v>35</v>
      </c>
      <c r="F39" s="35" t="s">
        <v>35</v>
      </c>
      <c r="G39" s="35" t="s">
        <v>35</v>
      </c>
      <c r="H39" s="35" t="s">
        <v>35</v>
      </c>
      <c r="I39" s="35" t="s">
        <v>35</v>
      </c>
      <c r="J39" s="35" t="s">
        <v>35</v>
      </c>
    </row>
    <row r="40" spans="2:10">
      <c r="B40" s="22" t="s">
        <v>65</v>
      </c>
      <c r="C40" s="23" t="s">
        <v>39</v>
      </c>
      <c r="D40" s="33">
        <f>MIN(1,D39*0.05)</f>
        <v>0.72830924625978022</v>
      </c>
      <c r="E40" s="35" t="s">
        <v>35</v>
      </c>
      <c r="F40" s="35" t="s">
        <v>35</v>
      </c>
      <c r="G40" s="35" t="s">
        <v>35</v>
      </c>
      <c r="H40" s="35" t="s">
        <v>35</v>
      </c>
      <c r="I40" s="35" t="s">
        <v>35</v>
      </c>
      <c r="J40" s="35" t="s">
        <v>35</v>
      </c>
    </row>
    <row r="41" spans="2:10" ht="18">
      <c r="B41" s="11" t="s">
        <v>40</v>
      </c>
      <c r="C41" s="45" t="s">
        <v>33</v>
      </c>
      <c r="D41" s="18">
        <f>0.75*D34</f>
        <v>7294.5</v>
      </c>
      <c r="E41" s="18">
        <f>(0.9999*1/D53)^(3/2)*D41</f>
        <v>5488.2975816925</v>
      </c>
      <c r="F41" s="18">
        <f t="shared" ref="F41:J41" si="14">(0.9999*1/E53)^(3/2)*E41</f>
        <v>5298.4284781117467</v>
      </c>
      <c r="G41" s="18">
        <f t="shared" si="14"/>
        <v>5271.856937856046</v>
      </c>
      <c r="H41" s="18">
        <f t="shared" si="14"/>
        <v>5268.0042057735673</v>
      </c>
      <c r="I41" s="18">
        <f t="shared" si="14"/>
        <v>5267.4427459475601</v>
      </c>
      <c r="J41" s="18">
        <f t="shared" si="14"/>
        <v>5267.3608640014272</v>
      </c>
    </row>
    <row r="42" spans="2:10" ht="18">
      <c r="B42" s="11" t="s">
        <v>41</v>
      </c>
      <c r="C42" s="45" t="s">
        <v>33</v>
      </c>
      <c r="D42" s="18">
        <f>IF(D34&gt;=10000,0.025*D34+250,0.05*D34)</f>
        <v>486.3</v>
      </c>
      <c r="E42" s="18">
        <f t="shared" ref="E42:J48" si="15">D42</f>
        <v>486.3</v>
      </c>
      <c r="F42" s="18">
        <f t="shared" si="15"/>
        <v>486.3</v>
      </c>
      <c r="G42" s="18">
        <f t="shared" si="15"/>
        <v>486.3</v>
      </c>
      <c r="H42" s="18">
        <f t="shared" si="15"/>
        <v>486.3</v>
      </c>
      <c r="I42" s="18">
        <f t="shared" si="15"/>
        <v>486.3</v>
      </c>
      <c r="J42" s="18">
        <f t="shared" si="15"/>
        <v>486.3</v>
      </c>
    </row>
    <row r="43" spans="2:10" ht="18">
      <c r="B43" s="22" t="s">
        <v>42</v>
      </c>
      <c r="C43" s="23" t="s">
        <v>43</v>
      </c>
      <c r="D43" s="26">
        <f t="shared" ref="D43:D48" si="16">D17</f>
        <v>180</v>
      </c>
      <c r="E43" s="26">
        <f t="shared" si="15"/>
        <v>180</v>
      </c>
      <c r="F43" s="26">
        <f t="shared" si="15"/>
        <v>180</v>
      </c>
      <c r="G43" s="26">
        <f t="shared" si="15"/>
        <v>180</v>
      </c>
      <c r="H43" s="26">
        <f t="shared" si="15"/>
        <v>180</v>
      </c>
      <c r="I43" s="26">
        <f t="shared" si="15"/>
        <v>180</v>
      </c>
      <c r="J43" s="26">
        <f t="shared" si="15"/>
        <v>180</v>
      </c>
    </row>
    <row r="44" spans="2:10" ht="18">
      <c r="B44" s="22" t="s">
        <v>44</v>
      </c>
      <c r="C44" s="23" t="s">
        <v>43</v>
      </c>
      <c r="D44" s="26">
        <f t="shared" si="16"/>
        <v>210</v>
      </c>
      <c r="E44" s="26">
        <f t="shared" si="15"/>
        <v>210</v>
      </c>
      <c r="F44" s="26">
        <f t="shared" si="15"/>
        <v>210</v>
      </c>
      <c r="G44" s="26">
        <f t="shared" si="15"/>
        <v>210</v>
      </c>
      <c r="H44" s="26">
        <f t="shared" si="15"/>
        <v>210</v>
      </c>
      <c r="I44" s="26">
        <f t="shared" si="15"/>
        <v>210</v>
      </c>
      <c r="J44" s="26">
        <f t="shared" si="15"/>
        <v>210</v>
      </c>
    </row>
    <row r="45" spans="2:10" ht="18">
      <c r="B45" s="27" t="s">
        <v>45</v>
      </c>
      <c r="C45" s="28" t="s">
        <v>46</v>
      </c>
      <c r="D45" s="30">
        <f t="shared" si="16"/>
        <v>3.206</v>
      </c>
      <c r="E45" s="30">
        <f t="shared" si="15"/>
        <v>3.206</v>
      </c>
      <c r="F45" s="30">
        <f t="shared" si="15"/>
        <v>3.206</v>
      </c>
      <c r="G45" s="30">
        <f t="shared" si="15"/>
        <v>3.206</v>
      </c>
      <c r="H45" s="30">
        <f t="shared" si="15"/>
        <v>3.206</v>
      </c>
      <c r="I45" s="30">
        <f t="shared" si="15"/>
        <v>3.206</v>
      </c>
      <c r="J45" s="30">
        <f t="shared" si="15"/>
        <v>3.206</v>
      </c>
    </row>
    <row r="46" spans="2:10" ht="18">
      <c r="B46" s="27" t="s">
        <v>47</v>
      </c>
      <c r="C46" s="28" t="s">
        <v>46</v>
      </c>
      <c r="D46" s="30">
        <f t="shared" si="16"/>
        <v>3.206</v>
      </c>
      <c r="E46" s="30">
        <f t="shared" si="15"/>
        <v>3.206</v>
      </c>
      <c r="F46" s="30">
        <f t="shared" si="15"/>
        <v>3.206</v>
      </c>
      <c r="G46" s="30">
        <f t="shared" si="15"/>
        <v>3.206</v>
      </c>
      <c r="H46" s="30">
        <f t="shared" si="15"/>
        <v>3.206</v>
      </c>
      <c r="I46" s="30">
        <f t="shared" si="15"/>
        <v>3.206</v>
      </c>
      <c r="J46" s="30">
        <f t="shared" si="15"/>
        <v>3.206</v>
      </c>
    </row>
    <row r="47" spans="2:10" ht="18">
      <c r="B47" s="27" t="s">
        <v>48</v>
      </c>
      <c r="C47" s="28"/>
      <c r="D47" s="30">
        <f t="shared" si="16"/>
        <v>1.0184</v>
      </c>
      <c r="E47" s="30">
        <f t="shared" si="15"/>
        <v>1.0184</v>
      </c>
      <c r="F47" s="30">
        <f t="shared" si="15"/>
        <v>1.0184</v>
      </c>
      <c r="G47" s="30">
        <f t="shared" si="15"/>
        <v>1.0184</v>
      </c>
      <c r="H47" s="30">
        <f t="shared" si="15"/>
        <v>1.0184</v>
      </c>
      <c r="I47" s="30">
        <f t="shared" si="15"/>
        <v>1.0184</v>
      </c>
      <c r="J47" s="30">
        <f t="shared" si="15"/>
        <v>1.0184</v>
      </c>
    </row>
    <row r="48" spans="2:10" ht="18">
      <c r="B48" s="27" t="s">
        <v>49</v>
      </c>
      <c r="C48" s="28"/>
      <c r="D48" s="30">
        <f t="shared" si="16"/>
        <v>1.0633999999999999</v>
      </c>
      <c r="E48" s="30">
        <f t="shared" si="15"/>
        <v>1.0633999999999999</v>
      </c>
      <c r="F48" s="30">
        <f t="shared" si="15"/>
        <v>1.0633999999999999</v>
      </c>
      <c r="G48" s="30">
        <f t="shared" si="15"/>
        <v>1.0633999999999999</v>
      </c>
      <c r="H48" s="30">
        <f t="shared" si="15"/>
        <v>1.0633999999999999</v>
      </c>
      <c r="I48" s="30">
        <f t="shared" si="15"/>
        <v>1.0633999999999999</v>
      </c>
      <c r="J48" s="30">
        <f t="shared" si="15"/>
        <v>1.0633999999999999</v>
      </c>
    </row>
    <row r="49" spans="2:10">
      <c r="B49" s="27" t="s">
        <v>50</v>
      </c>
      <c r="C49" s="28" t="s">
        <v>51</v>
      </c>
      <c r="D49" s="30">
        <f>(D45*D43*D41+D46*D44*D42)/(D47*D48*D33*D38)</f>
        <v>6.0014135851807389</v>
      </c>
      <c r="E49" s="30">
        <f>(E45*E43*E41+E46*E44*E42)/(E47*E48*E33*E38)</f>
        <v>5.0824762214915209</v>
      </c>
      <c r="F49" s="30">
        <f t="shared" ref="F49:J49" si="17">(F45*F43*F41+F46*F44*F42)/(F47*F48*F33*F38)</f>
        <v>4.9812378427246653</v>
      </c>
      <c r="G49" s="30">
        <f t="shared" si="17"/>
        <v>4.9669902520723168</v>
      </c>
      <c r="H49" s="30">
        <f t="shared" si="17"/>
        <v>4.9649227805193163</v>
      </c>
      <c r="I49" s="30">
        <f t="shared" si="17"/>
        <v>4.9646214523683989</v>
      </c>
      <c r="J49" s="30">
        <f t="shared" si="17"/>
        <v>4.9645775066562443</v>
      </c>
    </row>
    <row r="50" spans="2:10" ht="18">
      <c r="B50" s="27" t="s">
        <v>2</v>
      </c>
      <c r="C50" s="28" t="s">
        <v>51</v>
      </c>
      <c r="D50" s="30">
        <f>$C$4*(D32)^(-$C$5)</f>
        <v>6.2063331364282917</v>
      </c>
      <c r="E50" s="30">
        <f>D50</f>
        <v>6.2063331364282917</v>
      </c>
      <c r="F50" s="30">
        <f t="shared" ref="F50:J52" si="18">E50</f>
        <v>6.2063331364282917</v>
      </c>
      <c r="G50" s="30">
        <f t="shared" si="18"/>
        <v>6.2063331364282917</v>
      </c>
      <c r="H50" s="30">
        <f t="shared" si="18"/>
        <v>6.2063331364282917</v>
      </c>
      <c r="I50" s="30">
        <f t="shared" si="18"/>
        <v>6.2063331364282917</v>
      </c>
      <c r="J50" s="30">
        <f t="shared" si="18"/>
        <v>6.2063331364282917</v>
      </c>
    </row>
    <row r="51" spans="2:10">
      <c r="B51" s="27" t="s">
        <v>54</v>
      </c>
      <c r="C51" s="28"/>
      <c r="D51" s="30">
        <f>D25</f>
        <v>0.2</v>
      </c>
      <c r="E51" s="30">
        <f t="shared" ref="E51:E52" si="19">D51</f>
        <v>0.2</v>
      </c>
      <c r="F51" s="30">
        <f t="shared" si="18"/>
        <v>0.2</v>
      </c>
      <c r="G51" s="30">
        <f t="shared" si="18"/>
        <v>0.2</v>
      </c>
      <c r="H51" s="30">
        <f t="shared" si="18"/>
        <v>0.2</v>
      </c>
      <c r="I51" s="30">
        <f t="shared" si="18"/>
        <v>0.2</v>
      </c>
      <c r="J51" s="30">
        <f t="shared" si="18"/>
        <v>0.2</v>
      </c>
    </row>
    <row r="52" spans="2:10">
      <c r="B52" s="27" t="s">
        <v>55</v>
      </c>
      <c r="C52" s="28" t="s">
        <v>51</v>
      </c>
      <c r="D52" s="30">
        <f>D50*(1-D51)</f>
        <v>4.965066509142634</v>
      </c>
      <c r="E52" s="30">
        <f t="shared" si="19"/>
        <v>4.965066509142634</v>
      </c>
      <c r="F52" s="30">
        <f t="shared" si="18"/>
        <v>4.965066509142634</v>
      </c>
      <c r="G52" s="30">
        <f t="shared" si="18"/>
        <v>4.965066509142634</v>
      </c>
      <c r="H52" s="30">
        <f t="shared" si="18"/>
        <v>4.965066509142634</v>
      </c>
      <c r="I52" s="30">
        <f t="shared" si="18"/>
        <v>4.965066509142634</v>
      </c>
      <c r="J52" s="30">
        <f t="shared" si="18"/>
        <v>4.965066509142634</v>
      </c>
    </row>
    <row r="53" spans="2:10">
      <c r="B53" s="11" t="s">
        <v>56</v>
      </c>
      <c r="C53" s="45"/>
      <c r="D53" s="30">
        <f>D49/D52</f>
        <v>1.2087277328772501</v>
      </c>
      <c r="E53" s="30">
        <f>E49/E52</f>
        <v>1.0236471580255149</v>
      </c>
      <c r="F53" s="30">
        <f t="shared" ref="F53:J53" si="20">F49/F52</f>
        <v>1.0032570225499</v>
      </c>
      <c r="G53" s="30">
        <f t="shared" si="20"/>
        <v>1.0003874556214183</v>
      </c>
      <c r="H53" s="30">
        <f t="shared" si="20"/>
        <v>0.99997105202456948</v>
      </c>
      <c r="I53" s="30">
        <f t="shared" si="20"/>
        <v>0.99991036237411612</v>
      </c>
      <c r="J53" s="30">
        <f t="shared" si="20"/>
        <v>0.99990151139254846</v>
      </c>
    </row>
    <row r="54" spans="2:10">
      <c r="B54" s="11" t="s">
        <v>57</v>
      </c>
      <c r="C54" s="11"/>
      <c r="D54" s="32" t="str">
        <f t="shared" ref="D54:J54" si="21">IF(D49&lt;=D52,"Comply","Not Comply")</f>
        <v>Not Comply</v>
      </c>
      <c r="E54" s="32" t="str">
        <f t="shared" si="21"/>
        <v>Not Comply</v>
      </c>
      <c r="F54" s="32" t="str">
        <f t="shared" si="21"/>
        <v>Not Comply</v>
      </c>
      <c r="G54" s="32" t="str">
        <f t="shared" si="21"/>
        <v>Not Comply</v>
      </c>
      <c r="H54" s="32" t="str">
        <f t="shared" si="21"/>
        <v>Comply</v>
      </c>
      <c r="I54" s="32" t="str">
        <f t="shared" si="21"/>
        <v>Comply</v>
      </c>
      <c r="J54" s="32" t="str">
        <f t="shared" si="21"/>
        <v>Comply</v>
      </c>
    </row>
  </sheetData>
  <mergeCells count="4">
    <mergeCell ref="B2:E2"/>
    <mergeCell ref="B3:C3"/>
    <mergeCell ref="D3:E3"/>
    <mergeCell ref="L4:L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54"/>
  <sheetViews>
    <sheetView workbookViewId="0">
      <selection activeCell="L7" sqref="L7:N7"/>
    </sheetView>
  </sheetViews>
  <sheetFormatPr defaultColWidth="9" defaultRowHeight="15"/>
  <cols>
    <col min="1" max="1" width="9" style="1"/>
    <col min="2" max="2" width="16.28515625" style="1" customWidth="1"/>
    <col min="3" max="3" width="14.5703125" style="1" customWidth="1"/>
    <col min="4" max="10" width="12.5703125" style="1" customWidth="1"/>
    <col min="11" max="11" width="9" style="1"/>
    <col min="12" max="12" width="28" style="1" customWidth="1"/>
    <col min="13" max="13" width="36.140625" style="1" customWidth="1"/>
    <col min="14" max="14" width="15.42578125" style="1" customWidth="1"/>
    <col min="15" max="16384" width="9" style="1"/>
  </cols>
  <sheetData>
    <row r="2" spans="2:14" ht="18.75">
      <c r="B2" s="50" t="s">
        <v>68</v>
      </c>
      <c r="C2" s="51"/>
      <c r="D2" s="51"/>
      <c r="E2" s="51"/>
      <c r="H2" s="2"/>
      <c r="I2" s="2"/>
      <c r="J2" s="2"/>
      <c r="L2" s="3" t="s">
        <v>1</v>
      </c>
    </row>
    <row r="3" spans="2:14" ht="30">
      <c r="B3" s="52" t="s">
        <v>2</v>
      </c>
      <c r="C3" s="53"/>
      <c r="D3" s="52" t="s">
        <v>3</v>
      </c>
      <c r="E3" s="53"/>
      <c r="H3" s="2"/>
      <c r="I3" s="2"/>
      <c r="J3" s="2"/>
      <c r="L3" s="4" t="s">
        <v>4</v>
      </c>
      <c r="M3" s="4" t="s">
        <v>5</v>
      </c>
      <c r="N3" s="4" t="s">
        <v>6</v>
      </c>
    </row>
    <row r="4" spans="2:14">
      <c r="B4" s="5" t="s">
        <v>7</v>
      </c>
      <c r="C4" s="6">
        <v>1120</v>
      </c>
      <c r="D4" s="5" t="s">
        <v>8</v>
      </c>
      <c r="E4" s="7">
        <v>7.4462000000000002</v>
      </c>
      <c r="H4" s="2"/>
      <c r="I4" s="2"/>
      <c r="J4" s="2"/>
      <c r="L4" s="54" t="s">
        <v>12</v>
      </c>
      <c r="M4" s="4" t="s">
        <v>13</v>
      </c>
      <c r="N4" s="4">
        <v>30</v>
      </c>
    </row>
    <row r="5" spans="2:14" ht="30">
      <c r="B5" s="5" t="s">
        <v>9</v>
      </c>
      <c r="C5" s="8">
        <v>0.45600000000000002</v>
      </c>
      <c r="D5" s="5" t="s">
        <v>10</v>
      </c>
      <c r="E5" s="9">
        <v>7.6039999999999996E-2</v>
      </c>
      <c r="L5" s="54"/>
      <c r="M5" s="4" t="s">
        <v>16</v>
      </c>
      <c r="N5" s="4">
        <v>20</v>
      </c>
    </row>
    <row r="6" spans="2:14" ht="30">
      <c r="L6" s="54"/>
      <c r="M6" s="4" t="s">
        <v>25</v>
      </c>
      <c r="N6" s="4" t="s">
        <v>11</v>
      </c>
    </row>
    <row r="7" spans="2:14">
      <c r="B7" s="10" t="s">
        <v>69</v>
      </c>
      <c r="C7" s="10" t="s">
        <v>70</v>
      </c>
      <c r="D7" s="5" t="s">
        <v>14</v>
      </c>
      <c r="E7" s="5" t="s">
        <v>15</v>
      </c>
      <c r="F7" s="5" t="s">
        <v>15</v>
      </c>
      <c r="G7" s="5" t="s">
        <v>15</v>
      </c>
      <c r="H7" s="5" t="s">
        <v>15</v>
      </c>
      <c r="I7" s="5" t="s">
        <v>15</v>
      </c>
      <c r="J7" s="5" t="s">
        <v>15</v>
      </c>
      <c r="L7" s="1" t="s">
        <v>59</v>
      </c>
    </row>
    <row r="8" spans="2:14">
      <c r="B8" s="11"/>
      <c r="C8" s="5" t="s">
        <v>17</v>
      </c>
      <c r="D8" s="12" t="s">
        <v>18</v>
      </c>
      <c r="E8" s="5" t="s">
        <v>19</v>
      </c>
      <c r="F8" s="5" t="s">
        <v>20</v>
      </c>
      <c r="G8" s="5" t="s">
        <v>21</v>
      </c>
      <c r="H8" s="5" t="s">
        <v>22</v>
      </c>
      <c r="I8" s="5" t="s">
        <v>23</v>
      </c>
      <c r="J8" s="5" t="s">
        <v>71</v>
      </c>
      <c r="L8" s="1" t="s">
        <v>60</v>
      </c>
    </row>
    <row r="9" spans="2:14">
      <c r="B9" s="13" t="s">
        <v>26</v>
      </c>
      <c r="C9" s="14" t="s">
        <v>27</v>
      </c>
      <c r="D9" s="15">
        <v>55000</v>
      </c>
      <c r="E9" s="16">
        <f>D9</f>
        <v>55000</v>
      </c>
      <c r="F9" s="16">
        <f t="shared" ref="F9:J11" si="0">E9</f>
        <v>55000</v>
      </c>
      <c r="G9" s="16">
        <f t="shared" si="0"/>
        <v>55000</v>
      </c>
      <c r="H9" s="16">
        <f t="shared" si="0"/>
        <v>55000</v>
      </c>
      <c r="I9" s="16">
        <f t="shared" si="0"/>
        <v>55000</v>
      </c>
      <c r="J9" s="16">
        <f t="shared" si="0"/>
        <v>55000</v>
      </c>
    </row>
    <row r="10" spans="2:14">
      <c r="B10" s="11" t="s">
        <v>72</v>
      </c>
      <c r="C10" s="17" t="s">
        <v>30</v>
      </c>
      <c r="D10" s="18">
        <f>D9</f>
        <v>55000</v>
      </c>
      <c r="E10" s="18">
        <f>D10</f>
        <v>55000</v>
      </c>
      <c r="F10" s="18">
        <f t="shared" si="0"/>
        <v>55000</v>
      </c>
      <c r="G10" s="18">
        <f t="shared" si="0"/>
        <v>55000</v>
      </c>
      <c r="H10" s="18">
        <f t="shared" si="0"/>
        <v>55000</v>
      </c>
      <c r="I10" s="18">
        <f t="shared" si="0"/>
        <v>55000</v>
      </c>
      <c r="J10" s="18">
        <f t="shared" si="0"/>
        <v>55000</v>
      </c>
    </row>
    <row r="11" spans="2:14" ht="18">
      <c r="B11" s="11" t="s">
        <v>32</v>
      </c>
      <c r="C11" s="5" t="s">
        <v>33</v>
      </c>
      <c r="D11" s="19">
        <v>14000</v>
      </c>
      <c r="E11" s="20">
        <f>D11</f>
        <v>14000</v>
      </c>
      <c r="F11" s="20">
        <f t="shared" si="0"/>
        <v>14000</v>
      </c>
      <c r="G11" s="20">
        <f t="shared" si="0"/>
        <v>14000</v>
      </c>
      <c r="H11" s="20">
        <f t="shared" si="0"/>
        <v>14000</v>
      </c>
      <c r="I11" s="20">
        <f t="shared" si="0"/>
        <v>14000</v>
      </c>
      <c r="J11" s="20">
        <f t="shared" si="0"/>
        <v>14000</v>
      </c>
    </row>
    <row r="12" spans="2:14" ht="18">
      <c r="B12" s="11" t="s">
        <v>34</v>
      </c>
      <c r="C12" s="5" t="s">
        <v>33</v>
      </c>
      <c r="D12" s="21" t="s">
        <v>35</v>
      </c>
      <c r="E12" s="18">
        <f>E15/0.75</f>
        <v>9675.3180521492613</v>
      </c>
      <c r="F12" s="18">
        <f t="shared" ref="F12:J12" si="1">F15/0.75</f>
        <v>9283.589825580204</v>
      </c>
      <c r="G12" s="18">
        <f t="shared" si="1"/>
        <v>9232.1331807232564</v>
      </c>
      <c r="H12" s="18">
        <f t="shared" si="1"/>
        <v>9225.0866874396852</v>
      </c>
      <c r="I12" s="18">
        <f t="shared" si="1"/>
        <v>9224.1163211668463</v>
      </c>
      <c r="J12" s="18">
        <f t="shared" si="1"/>
        <v>9223.9825900978358</v>
      </c>
    </row>
    <row r="13" spans="2:14" ht="18" customHeight="1">
      <c r="B13" s="11" t="s">
        <v>36</v>
      </c>
      <c r="C13" s="5" t="s">
        <v>37</v>
      </c>
      <c r="D13" s="21" t="s">
        <v>35</v>
      </c>
      <c r="E13" s="18">
        <f>E15*1.15</f>
        <v>8344.9618199787365</v>
      </c>
      <c r="F13" s="18">
        <f t="shared" ref="F13:J13" si="2">F15*1.15</f>
        <v>8007.0962245629244</v>
      </c>
      <c r="G13" s="18">
        <f t="shared" si="2"/>
        <v>7962.7148683738078</v>
      </c>
      <c r="H13" s="18">
        <f t="shared" si="2"/>
        <v>7956.637267916728</v>
      </c>
      <c r="I13" s="18">
        <f t="shared" si="2"/>
        <v>7955.8003270064046</v>
      </c>
      <c r="J13" s="18">
        <f t="shared" si="2"/>
        <v>7955.6849839593824</v>
      </c>
    </row>
    <row r="14" spans="2:14" ht="18">
      <c r="B14" s="22" t="s">
        <v>38</v>
      </c>
      <c r="C14" s="23" t="s">
        <v>39</v>
      </c>
      <c r="D14" s="24">
        <v>17</v>
      </c>
      <c r="E14" s="6">
        <f>D14*(E15/D15)^(1/3)</f>
        <v>15.030081178458737</v>
      </c>
      <c r="F14" s="6">
        <f t="shared" ref="F14:J14" si="3">E14*(F15/E15)^(1/3)</f>
        <v>14.824437523248246</v>
      </c>
      <c r="G14" s="6">
        <f t="shared" si="3"/>
        <v>14.796997364368998</v>
      </c>
      <c r="H14" s="6">
        <f t="shared" si="3"/>
        <v>14.793231767286855</v>
      </c>
      <c r="I14" s="6">
        <f t="shared" si="3"/>
        <v>14.79271306009174</v>
      </c>
      <c r="J14" s="6">
        <f t="shared" si="3"/>
        <v>14.792641571585508</v>
      </c>
    </row>
    <row r="15" spans="2:14" ht="18">
      <c r="B15" s="11" t="s">
        <v>40</v>
      </c>
      <c r="C15" s="5" t="s">
        <v>33</v>
      </c>
      <c r="D15" s="18">
        <f>0.75*D11</f>
        <v>10500</v>
      </c>
      <c r="E15" s="18">
        <f>(0.9999*1/D27)^(3/2)*D15</f>
        <v>7256.488539111946</v>
      </c>
      <c r="F15" s="18">
        <f t="shared" ref="F15:J15" si="4">(0.9999*1/E27)^(3/2)*E15</f>
        <v>6962.6923691851525</v>
      </c>
      <c r="G15" s="18">
        <f t="shared" si="4"/>
        <v>6924.0998855424423</v>
      </c>
      <c r="H15" s="18">
        <f t="shared" si="4"/>
        <v>6918.8150155797639</v>
      </c>
      <c r="I15" s="18">
        <f t="shared" si="4"/>
        <v>6918.0872408751347</v>
      </c>
      <c r="J15" s="18">
        <f t="shared" si="4"/>
        <v>6917.9869425733768</v>
      </c>
    </row>
    <row r="16" spans="2:14" ht="18">
      <c r="B16" s="11" t="s">
        <v>41</v>
      </c>
      <c r="C16" s="5" t="s">
        <v>33</v>
      </c>
      <c r="D16" s="18">
        <f>IF(D11&gt;=10000,0.025*D11+250,0.05*D11)</f>
        <v>600</v>
      </c>
      <c r="E16" s="18">
        <f t="shared" ref="E16:J22" si="5">D16</f>
        <v>600</v>
      </c>
      <c r="F16" s="18">
        <f t="shared" si="5"/>
        <v>600</v>
      </c>
      <c r="G16" s="18">
        <f t="shared" si="5"/>
        <v>600</v>
      </c>
      <c r="H16" s="18">
        <f t="shared" si="5"/>
        <v>600</v>
      </c>
      <c r="I16" s="18">
        <f t="shared" si="5"/>
        <v>600</v>
      </c>
      <c r="J16" s="18">
        <f t="shared" si="5"/>
        <v>600</v>
      </c>
    </row>
    <row r="17" spans="2:10" ht="18">
      <c r="B17" s="22" t="s">
        <v>42</v>
      </c>
      <c r="C17" s="23" t="s">
        <v>43</v>
      </c>
      <c r="D17" s="25">
        <v>180</v>
      </c>
      <c r="E17" s="26">
        <f t="shared" si="5"/>
        <v>180</v>
      </c>
      <c r="F17" s="26">
        <f t="shared" si="5"/>
        <v>180</v>
      </c>
      <c r="G17" s="26">
        <f t="shared" si="5"/>
        <v>180</v>
      </c>
      <c r="H17" s="26">
        <f t="shared" si="5"/>
        <v>180</v>
      </c>
      <c r="I17" s="26">
        <f t="shared" si="5"/>
        <v>180</v>
      </c>
      <c r="J17" s="26">
        <f t="shared" si="5"/>
        <v>180</v>
      </c>
    </row>
    <row r="18" spans="2:10" ht="18">
      <c r="B18" s="22" t="s">
        <v>44</v>
      </c>
      <c r="C18" s="23" t="s">
        <v>43</v>
      </c>
      <c r="D18" s="25">
        <v>210</v>
      </c>
      <c r="E18" s="26">
        <f t="shared" si="5"/>
        <v>210</v>
      </c>
      <c r="F18" s="26">
        <f t="shared" si="5"/>
        <v>210</v>
      </c>
      <c r="G18" s="26">
        <f t="shared" si="5"/>
        <v>210</v>
      </c>
      <c r="H18" s="26">
        <f t="shared" si="5"/>
        <v>210</v>
      </c>
      <c r="I18" s="26">
        <f t="shared" si="5"/>
        <v>210</v>
      </c>
      <c r="J18" s="26">
        <f t="shared" si="5"/>
        <v>210</v>
      </c>
    </row>
    <row r="19" spans="2:10" ht="18">
      <c r="B19" s="27" t="s">
        <v>45</v>
      </c>
      <c r="C19" s="28" t="s">
        <v>46</v>
      </c>
      <c r="D19" s="29">
        <v>3.206</v>
      </c>
      <c r="E19" s="8">
        <f t="shared" si="5"/>
        <v>3.206</v>
      </c>
      <c r="F19" s="8">
        <f t="shared" si="5"/>
        <v>3.206</v>
      </c>
      <c r="G19" s="8">
        <f t="shared" si="5"/>
        <v>3.206</v>
      </c>
      <c r="H19" s="8">
        <f t="shared" si="5"/>
        <v>3.206</v>
      </c>
      <c r="I19" s="8">
        <f t="shared" si="5"/>
        <v>3.206</v>
      </c>
      <c r="J19" s="8">
        <f t="shared" si="5"/>
        <v>3.206</v>
      </c>
    </row>
    <row r="20" spans="2:10" ht="18">
      <c r="B20" s="27" t="s">
        <v>47</v>
      </c>
      <c r="C20" s="28" t="s">
        <v>46</v>
      </c>
      <c r="D20" s="29">
        <v>3.206</v>
      </c>
      <c r="E20" s="8">
        <f t="shared" si="5"/>
        <v>3.206</v>
      </c>
      <c r="F20" s="8">
        <f t="shared" si="5"/>
        <v>3.206</v>
      </c>
      <c r="G20" s="8">
        <f t="shared" si="5"/>
        <v>3.206</v>
      </c>
      <c r="H20" s="8">
        <f t="shared" si="5"/>
        <v>3.206</v>
      </c>
      <c r="I20" s="8">
        <f t="shared" si="5"/>
        <v>3.206</v>
      </c>
      <c r="J20" s="8">
        <f t="shared" si="5"/>
        <v>3.206</v>
      </c>
    </row>
    <row r="21" spans="2:10" ht="18">
      <c r="B21" s="27" t="s">
        <v>48</v>
      </c>
      <c r="C21" s="28"/>
      <c r="D21" s="29">
        <v>1</v>
      </c>
      <c r="E21" s="8">
        <f t="shared" si="5"/>
        <v>1</v>
      </c>
      <c r="F21" s="8">
        <f t="shared" si="5"/>
        <v>1</v>
      </c>
      <c r="G21" s="8">
        <f t="shared" si="5"/>
        <v>1</v>
      </c>
      <c r="H21" s="8">
        <f t="shared" si="5"/>
        <v>1</v>
      </c>
      <c r="I21" s="8">
        <f t="shared" si="5"/>
        <v>1</v>
      </c>
      <c r="J21" s="8">
        <f t="shared" si="5"/>
        <v>1</v>
      </c>
    </row>
    <row r="22" spans="2:10" ht="18">
      <c r="B22" s="27" t="s">
        <v>49</v>
      </c>
      <c r="C22" s="28"/>
      <c r="D22" s="29">
        <v>1</v>
      </c>
      <c r="E22" s="8">
        <f t="shared" si="5"/>
        <v>1</v>
      </c>
      <c r="F22" s="8">
        <f t="shared" si="5"/>
        <v>1</v>
      </c>
      <c r="G22" s="8">
        <f t="shared" si="5"/>
        <v>1</v>
      </c>
      <c r="H22" s="8">
        <f t="shared" si="5"/>
        <v>1</v>
      </c>
      <c r="I22" s="8">
        <f t="shared" si="5"/>
        <v>1</v>
      </c>
      <c r="J22" s="8">
        <f t="shared" si="5"/>
        <v>1</v>
      </c>
    </row>
    <row r="23" spans="2:10">
      <c r="B23" s="27" t="s">
        <v>50</v>
      </c>
      <c r="C23" s="28" t="s">
        <v>51</v>
      </c>
      <c r="D23" s="30">
        <f>(D19*D17*D15+D20*D18*D16)/(D21*D22*D10*D14)</f>
        <v>6.9126160427807486</v>
      </c>
      <c r="E23" s="30">
        <f>(E19*E17*E15+E20*E18*E16)/(E21*E22*E10*E14)</f>
        <v>5.5543526365359881</v>
      </c>
      <c r="F23" s="30">
        <f>(F19*F17*F15+F20*F18*F16)/(F21*F22*F10*F14)</f>
        <v>5.4234607313089267</v>
      </c>
      <c r="G23" s="30">
        <f t="shared" ref="G23:J23" si="6">(G19*G17*G15+G20*G18*G16)/(G21*G22*G10*G14)</f>
        <v>5.4061527774341789</v>
      </c>
      <c r="H23" s="30">
        <f t="shared" si="6"/>
        <v>5.4037805179545035</v>
      </c>
      <c r="I23" s="30">
        <f t="shared" si="6"/>
        <v>5.4034537964808145</v>
      </c>
      <c r="J23" s="30">
        <f t="shared" si="6"/>
        <v>5.4034087685924206</v>
      </c>
    </row>
    <row r="24" spans="2:10" ht="18">
      <c r="B24" s="27" t="s">
        <v>2</v>
      </c>
      <c r="C24" s="28" t="s">
        <v>51</v>
      </c>
      <c r="D24" s="30">
        <f>$C$4*D9^(-$C$5)</f>
        <v>7.7199170920501841</v>
      </c>
      <c r="E24" s="30">
        <f t="shared" ref="E24:J26" si="7">D24</f>
        <v>7.7199170920501841</v>
      </c>
      <c r="F24" s="30">
        <f t="shared" si="7"/>
        <v>7.7199170920501841</v>
      </c>
      <c r="G24" s="30">
        <f t="shared" si="7"/>
        <v>7.7199170920501841</v>
      </c>
      <c r="H24" s="30">
        <f t="shared" si="7"/>
        <v>7.7199170920501841</v>
      </c>
      <c r="I24" s="30">
        <f t="shared" si="7"/>
        <v>7.7199170920501841</v>
      </c>
      <c r="J24" s="30">
        <f t="shared" si="7"/>
        <v>7.7199170920501841</v>
      </c>
    </row>
    <row r="25" spans="2:10">
      <c r="B25" s="27" t="s">
        <v>54</v>
      </c>
      <c r="C25" s="28"/>
      <c r="D25" s="31">
        <v>0.3</v>
      </c>
      <c r="E25" s="30">
        <f t="shared" si="7"/>
        <v>0.3</v>
      </c>
      <c r="F25" s="30">
        <f t="shared" si="7"/>
        <v>0.3</v>
      </c>
      <c r="G25" s="30">
        <f t="shared" si="7"/>
        <v>0.3</v>
      </c>
      <c r="H25" s="30">
        <f t="shared" si="7"/>
        <v>0.3</v>
      </c>
      <c r="I25" s="30">
        <f t="shared" si="7"/>
        <v>0.3</v>
      </c>
      <c r="J25" s="30">
        <f t="shared" si="7"/>
        <v>0.3</v>
      </c>
    </row>
    <row r="26" spans="2:10">
      <c r="B26" s="27" t="s">
        <v>55</v>
      </c>
      <c r="C26" s="28" t="s">
        <v>51</v>
      </c>
      <c r="D26" s="30">
        <f>D24*(1-D25)</f>
        <v>5.4039419644351288</v>
      </c>
      <c r="E26" s="30">
        <f t="shared" si="7"/>
        <v>5.4039419644351288</v>
      </c>
      <c r="F26" s="30">
        <f t="shared" si="7"/>
        <v>5.4039419644351288</v>
      </c>
      <c r="G26" s="30">
        <f t="shared" si="7"/>
        <v>5.4039419644351288</v>
      </c>
      <c r="H26" s="30">
        <f t="shared" si="7"/>
        <v>5.4039419644351288</v>
      </c>
      <c r="I26" s="30">
        <f t="shared" si="7"/>
        <v>5.4039419644351288</v>
      </c>
      <c r="J26" s="30">
        <f t="shared" si="7"/>
        <v>5.4039419644351288</v>
      </c>
    </row>
    <row r="27" spans="2:10">
      <c r="B27" s="11" t="s">
        <v>56</v>
      </c>
      <c r="C27" s="5"/>
      <c r="D27" s="30">
        <f>D23/D26</f>
        <v>1.2791802888103962</v>
      </c>
      <c r="E27" s="30">
        <f>E23/E26</f>
        <v>1.0278335098879214</v>
      </c>
      <c r="F27" s="30">
        <f t="shared" ref="F27:J27" si="8">F23/F26</f>
        <v>1.0036119497585756</v>
      </c>
      <c r="G27" s="30">
        <f t="shared" si="8"/>
        <v>1.0004091111661821</v>
      </c>
      <c r="H27" s="30">
        <f t="shared" si="8"/>
        <v>0.99997012431264298</v>
      </c>
      <c r="I27" s="30">
        <f t="shared" si="8"/>
        <v>0.99990966447131979</v>
      </c>
      <c r="J27" s="30">
        <f t="shared" si="8"/>
        <v>0.99990133205607734</v>
      </c>
    </row>
    <row r="28" spans="2:10">
      <c r="B28" s="11" t="s">
        <v>73</v>
      </c>
      <c r="C28" s="5"/>
      <c r="D28" s="32" t="str">
        <f>IF(D23&lt;=D26,"Comply","Not Comply")</f>
        <v>Not Comply</v>
      </c>
      <c r="E28" s="32" t="str">
        <f t="shared" ref="E28:J28" si="9">IF(E23&lt;=E26,"Comply","Not Comply")</f>
        <v>Not Comply</v>
      </c>
      <c r="F28" s="32" t="str">
        <f t="shared" si="9"/>
        <v>Not Comply</v>
      </c>
      <c r="G28" s="32" t="str">
        <f t="shared" si="9"/>
        <v>Not Comply</v>
      </c>
      <c r="H28" s="32" t="str">
        <f t="shared" si="9"/>
        <v>Comply</v>
      </c>
      <c r="I28" s="32" t="str">
        <f t="shared" si="9"/>
        <v>Comply</v>
      </c>
      <c r="J28" s="32" t="str">
        <f t="shared" si="9"/>
        <v>Comply</v>
      </c>
    </row>
    <row r="29" spans="2:10">
      <c r="B29" s="2"/>
      <c r="C29" s="2"/>
      <c r="D29" s="2"/>
      <c r="E29" s="2"/>
      <c r="F29" s="2"/>
      <c r="G29" s="2"/>
      <c r="H29" s="2"/>
      <c r="I29" s="2"/>
      <c r="J29" s="2"/>
    </row>
    <row r="30" spans="2:10">
      <c r="B30" s="10" t="str">
        <f>B7</f>
        <v>LPG carrier</v>
      </c>
      <c r="C30" s="10" t="str">
        <f>C7</f>
        <v>VLGC(83Km3)</v>
      </c>
      <c r="D30" s="5" t="s">
        <v>14</v>
      </c>
      <c r="E30" s="5" t="s">
        <v>15</v>
      </c>
      <c r="F30" s="5" t="s">
        <v>15</v>
      </c>
      <c r="G30" s="5" t="s">
        <v>15</v>
      </c>
      <c r="H30" s="5" t="s">
        <v>15</v>
      </c>
      <c r="I30" s="5" t="s">
        <v>15</v>
      </c>
      <c r="J30" s="5" t="s">
        <v>15</v>
      </c>
    </row>
    <row r="31" spans="2:10">
      <c r="B31" s="11"/>
      <c r="C31" s="5" t="s">
        <v>17</v>
      </c>
      <c r="D31" s="12" t="s">
        <v>58</v>
      </c>
      <c r="E31" s="5" t="s">
        <v>19</v>
      </c>
      <c r="F31" s="5" t="s">
        <v>20</v>
      </c>
      <c r="G31" s="5" t="s">
        <v>21</v>
      </c>
      <c r="H31" s="5" t="s">
        <v>22</v>
      </c>
      <c r="I31" s="5" t="s">
        <v>23</v>
      </c>
      <c r="J31" s="5" t="s">
        <v>71</v>
      </c>
    </row>
    <row r="32" spans="2:10">
      <c r="B32" s="13" t="s">
        <v>26</v>
      </c>
      <c r="C32" s="14" t="s">
        <v>27</v>
      </c>
      <c r="D32" s="16">
        <f>D9</f>
        <v>55000</v>
      </c>
      <c r="E32" s="16">
        <f>D32</f>
        <v>55000</v>
      </c>
      <c r="F32" s="16">
        <f t="shared" ref="F32:J34" si="10">E32</f>
        <v>55000</v>
      </c>
      <c r="G32" s="16">
        <f t="shared" si="10"/>
        <v>55000</v>
      </c>
      <c r="H32" s="16">
        <f t="shared" si="10"/>
        <v>55000</v>
      </c>
      <c r="I32" s="16">
        <f t="shared" si="10"/>
        <v>55000</v>
      </c>
      <c r="J32" s="16">
        <f t="shared" si="10"/>
        <v>55000</v>
      </c>
    </row>
    <row r="33" spans="2:10">
      <c r="B33" s="11" t="s">
        <v>61</v>
      </c>
      <c r="C33" s="17" t="s">
        <v>30</v>
      </c>
      <c r="D33" s="18">
        <f>D10</f>
        <v>55000</v>
      </c>
      <c r="E33" s="18">
        <f>D33</f>
        <v>55000</v>
      </c>
      <c r="F33" s="18">
        <f t="shared" si="10"/>
        <v>55000</v>
      </c>
      <c r="G33" s="18">
        <f t="shared" si="10"/>
        <v>55000</v>
      </c>
      <c r="H33" s="18">
        <f t="shared" si="10"/>
        <v>55000</v>
      </c>
      <c r="I33" s="18">
        <f t="shared" si="10"/>
        <v>55000</v>
      </c>
      <c r="J33" s="18">
        <f t="shared" si="10"/>
        <v>55000</v>
      </c>
    </row>
    <row r="34" spans="2:10" ht="18">
      <c r="B34" s="11" t="s">
        <v>32</v>
      </c>
      <c r="C34" s="5" t="s">
        <v>33</v>
      </c>
      <c r="D34" s="18">
        <f>D11</f>
        <v>14000</v>
      </c>
      <c r="E34" s="20">
        <f>D34</f>
        <v>14000</v>
      </c>
      <c r="F34" s="20">
        <f t="shared" si="10"/>
        <v>14000</v>
      </c>
      <c r="G34" s="20">
        <f t="shared" si="10"/>
        <v>14000</v>
      </c>
      <c r="H34" s="20">
        <f t="shared" si="10"/>
        <v>14000</v>
      </c>
      <c r="I34" s="20">
        <f t="shared" si="10"/>
        <v>14000</v>
      </c>
      <c r="J34" s="20">
        <f t="shared" si="10"/>
        <v>14000</v>
      </c>
    </row>
    <row r="35" spans="2:10" ht="18">
      <c r="B35" s="11" t="s">
        <v>34</v>
      </c>
      <c r="C35" s="5" t="s">
        <v>33</v>
      </c>
      <c r="D35" s="21" t="s">
        <v>35</v>
      </c>
      <c r="E35" s="18">
        <f>E41/0.75</f>
        <v>8605.0292552223691</v>
      </c>
      <c r="F35" s="18">
        <f t="shared" ref="F35:J35" si="11">F41/0.75</f>
        <v>8122.939563492685</v>
      </c>
      <c r="G35" s="18">
        <f t="shared" si="11"/>
        <v>8052.6906989811314</v>
      </c>
      <c r="H35" s="18">
        <f t="shared" si="11"/>
        <v>8041.8431901176909</v>
      </c>
      <c r="I35" s="18">
        <f t="shared" si="11"/>
        <v>8040.1534713702977</v>
      </c>
      <c r="J35" s="18">
        <f t="shared" si="11"/>
        <v>8039.8899064568441</v>
      </c>
    </row>
    <row r="36" spans="2:10" ht="18">
      <c r="B36" s="11" t="s">
        <v>36</v>
      </c>
      <c r="C36" s="5" t="s">
        <v>37</v>
      </c>
      <c r="D36" s="21" t="s">
        <v>35</v>
      </c>
      <c r="E36" s="18">
        <f>E41*1.15</f>
        <v>7421.837732629293</v>
      </c>
      <c r="F36" s="18">
        <f t="shared" ref="F36:J36" si="12">F41*1.15</f>
        <v>7006.0353735124409</v>
      </c>
      <c r="G36" s="18">
        <f t="shared" si="12"/>
        <v>6945.4457278712252</v>
      </c>
      <c r="H36" s="18">
        <f t="shared" si="12"/>
        <v>6936.0897514765074</v>
      </c>
      <c r="I36" s="18">
        <f t="shared" si="12"/>
        <v>6934.6323690568815</v>
      </c>
      <c r="J36" s="18">
        <f t="shared" si="12"/>
        <v>6934.4050443190281</v>
      </c>
    </row>
    <row r="37" spans="2:10" ht="18">
      <c r="B37" s="11" t="s">
        <v>62</v>
      </c>
      <c r="C37" s="5" t="s">
        <v>33</v>
      </c>
      <c r="D37" s="20">
        <f>IF(D34&gt;=10000,((D33*D50*D39/3.1144-215*250)/(190*0.75+215*0.025)),((D33*D50*D39)/(3.1144*(190*0.75+215*0.05))))</f>
        <v>15379.900048363175</v>
      </c>
      <c r="E37" s="21" t="s">
        <v>35</v>
      </c>
      <c r="F37" s="21" t="s">
        <v>35</v>
      </c>
      <c r="G37" s="21" t="s">
        <v>35</v>
      </c>
      <c r="H37" s="21" t="s">
        <v>35</v>
      </c>
      <c r="I37" s="21" t="s">
        <v>35</v>
      </c>
      <c r="J37" s="21" t="s">
        <v>35</v>
      </c>
    </row>
    <row r="38" spans="2:10" ht="18">
      <c r="B38" s="22" t="s">
        <v>63</v>
      </c>
      <c r="C38" s="23" t="s">
        <v>39</v>
      </c>
      <c r="D38" s="33">
        <f>(D39-D40)*(D34/D37)^(1/3)</f>
        <v>15.721970919519769</v>
      </c>
      <c r="E38" s="33">
        <f>D38*(E41/D41)^(1/3)</f>
        <v>13.367445654179235</v>
      </c>
      <c r="F38" s="33">
        <f t="shared" ref="F38:J38" si="13">E38*(F41/E41)^(1/3)</f>
        <v>13.112999684032674</v>
      </c>
      <c r="G38" s="33">
        <f t="shared" si="13"/>
        <v>13.075088873430285</v>
      </c>
      <c r="H38" s="33">
        <f t="shared" si="13"/>
        <v>13.069215231057305</v>
      </c>
      <c r="I38" s="33">
        <f t="shared" si="13"/>
        <v>13.068299817168068</v>
      </c>
      <c r="J38" s="33">
        <f t="shared" si="13"/>
        <v>13.068157017947478</v>
      </c>
    </row>
    <row r="39" spans="2:10" ht="18">
      <c r="B39" s="22" t="s">
        <v>64</v>
      </c>
      <c r="C39" s="23" t="s">
        <v>39</v>
      </c>
      <c r="D39" s="34">
        <f>E4*D32^E5</f>
        <v>17.076225286384524</v>
      </c>
      <c r="E39" s="35" t="s">
        <v>35</v>
      </c>
      <c r="F39" s="35" t="s">
        <v>35</v>
      </c>
      <c r="G39" s="35" t="s">
        <v>35</v>
      </c>
      <c r="H39" s="35" t="s">
        <v>35</v>
      </c>
      <c r="I39" s="35" t="s">
        <v>35</v>
      </c>
      <c r="J39" s="35" t="s">
        <v>35</v>
      </c>
    </row>
    <row r="40" spans="2:10">
      <c r="B40" s="22" t="s">
        <v>65</v>
      </c>
      <c r="C40" s="23" t="s">
        <v>39</v>
      </c>
      <c r="D40" s="33">
        <f>MIN(1,D39*0.05)</f>
        <v>0.85381126431922627</v>
      </c>
      <c r="E40" s="35" t="s">
        <v>35</v>
      </c>
      <c r="F40" s="35" t="s">
        <v>35</v>
      </c>
      <c r="G40" s="35" t="s">
        <v>35</v>
      </c>
      <c r="H40" s="35" t="s">
        <v>35</v>
      </c>
      <c r="I40" s="35" t="s">
        <v>35</v>
      </c>
      <c r="J40" s="35" t="s">
        <v>35</v>
      </c>
    </row>
    <row r="41" spans="2:10" ht="18">
      <c r="B41" s="11" t="s">
        <v>40</v>
      </c>
      <c r="C41" s="5" t="s">
        <v>33</v>
      </c>
      <c r="D41" s="18">
        <f>0.75*D34</f>
        <v>10500</v>
      </c>
      <c r="E41" s="18">
        <f>(0.9999*1/D53)^(3/2)*D41</f>
        <v>6453.7719414167768</v>
      </c>
      <c r="F41" s="18">
        <f t="shared" ref="F41:J41" si="14">(0.9999*1/E53)^(3/2)*E41</f>
        <v>6092.204672619514</v>
      </c>
      <c r="G41" s="18">
        <f t="shared" si="14"/>
        <v>6039.5180242358483</v>
      </c>
      <c r="H41" s="18">
        <f t="shared" si="14"/>
        <v>6031.382392588268</v>
      </c>
      <c r="I41" s="18">
        <f t="shared" si="14"/>
        <v>6030.1151035277235</v>
      </c>
      <c r="J41" s="18">
        <f t="shared" si="14"/>
        <v>6029.9174298426333</v>
      </c>
    </row>
    <row r="42" spans="2:10" ht="18">
      <c r="B42" s="11" t="s">
        <v>41</v>
      </c>
      <c r="C42" s="5" t="s">
        <v>33</v>
      </c>
      <c r="D42" s="18">
        <f>IF(D34&gt;=10000,0.025*D34+250,0.05*D34)</f>
        <v>600</v>
      </c>
      <c r="E42" s="18">
        <f t="shared" ref="E42:J48" si="15">D42</f>
        <v>600</v>
      </c>
      <c r="F42" s="18">
        <f t="shared" si="15"/>
        <v>600</v>
      </c>
      <c r="G42" s="18">
        <f t="shared" si="15"/>
        <v>600</v>
      </c>
      <c r="H42" s="18">
        <f t="shared" si="15"/>
        <v>600</v>
      </c>
      <c r="I42" s="18">
        <f t="shared" si="15"/>
        <v>600</v>
      </c>
      <c r="J42" s="18">
        <f t="shared" si="15"/>
        <v>600</v>
      </c>
    </row>
    <row r="43" spans="2:10" ht="18">
      <c r="B43" s="22" t="s">
        <v>42</v>
      </c>
      <c r="C43" s="23" t="s">
        <v>43</v>
      </c>
      <c r="D43" s="26">
        <f t="shared" ref="D43:D48" si="16">D17</f>
        <v>180</v>
      </c>
      <c r="E43" s="26">
        <f t="shared" si="15"/>
        <v>180</v>
      </c>
      <c r="F43" s="26">
        <f t="shared" si="15"/>
        <v>180</v>
      </c>
      <c r="G43" s="26">
        <f t="shared" si="15"/>
        <v>180</v>
      </c>
      <c r="H43" s="26">
        <f t="shared" si="15"/>
        <v>180</v>
      </c>
      <c r="I43" s="26">
        <f t="shared" si="15"/>
        <v>180</v>
      </c>
      <c r="J43" s="26">
        <f t="shared" si="15"/>
        <v>180</v>
      </c>
    </row>
    <row r="44" spans="2:10" ht="18">
      <c r="B44" s="22" t="s">
        <v>44</v>
      </c>
      <c r="C44" s="23" t="s">
        <v>43</v>
      </c>
      <c r="D44" s="26">
        <f t="shared" si="16"/>
        <v>210</v>
      </c>
      <c r="E44" s="26">
        <f t="shared" si="15"/>
        <v>210</v>
      </c>
      <c r="F44" s="26">
        <f t="shared" si="15"/>
        <v>210</v>
      </c>
      <c r="G44" s="26">
        <f t="shared" si="15"/>
        <v>210</v>
      </c>
      <c r="H44" s="26">
        <f t="shared" si="15"/>
        <v>210</v>
      </c>
      <c r="I44" s="26">
        <f t="shared" si="15"/>
        <v>210</v>
      </c>
      <c r="J44" s="26">
        <f t="shared" si="15"/>
        <v>210</v>
      </c>
    </row>
    <row r="45" spans="2:10" ht="18">
      <c r="B45" s="27" t="s">
        <v>45</v>
      </c>
      <c r="C45" s="28" t="s">
        <v>46</v>
      </c>
      <c r="D45" s="30">
        <f t="shared" si="16"/>
        <v>3.206</v>
      </c>
      <c r="E45" s="30">
        <f t="shared" si="15"/>
        <v>3.206</v>
      </c>
      <c r="F45" s="30">
        <f t="shared" si="15"/>
        <v>3.206</v>
      </c>
      <c r="G45" s="30">
        <f t="shared" si="15"/>
        <v>3.206</v>
      </c>
      <c r="H45" s="30">
        <f t="shared" si="15"/>
        <v>3.206</v>
      </c>
      <c r="I45" s="30">
        <f t="shared" si="15"/>
        <v>3.206</v>
      </c>
      <c r="J45" s="30">
        <f t="shared" si="15"/>
        <v>3.206</v>
      </c>
    </row>
    <row r="46" spans="2:10" ht="18">
      <c r="B46" s="27" t="s">
        <v>47</v>
      </c>
      <c r="C46" s="28" t="s">
        <v>46</v>
      </c>
      <c r="D46" s="30">
        <f t="shared" si="16"/>
        <v>3.206</v>
      </c>
      <c r="E46" s="30">
        <f t="shared" si="15"/>
        <v>3.206</v>
      </c>
      <c r="F46" s="30">
        <f t="shared" si="15"/>
        <v>3.206</v>
      </c>
      <c r="G46" s="30">
        <f t="shared" si="15"/>
        <v>3.206</v>
      </c>
      <c r="H46" s="30">
        <f t="shared" si="15"/>
        <v>3.206</v>
      </c>
      <c r="I46" s="30">
        <f t="shared" si="15"/>
        <v>3.206</v>
      </c>
      <c r="J46" s="30">
        <f t="shared" si="15"/>
        <v>3.206</v>
      </c>
    </row>
    <row r="47" spans="2:10" ht="18">
      <c r="B47" s="27" t="s">
        <v>48</v>
      </c>
      <c r="C47" s="28"/>
      <c r="D47" s="30">
        <f t="shared" si="16"/>
        <v>1</v>
      </c>
      <c r="E47" s="30">
        <f t="shared" si="15"/>
        <v>1</v>
      </c>
      <c r="F47" s="30">
        <f t="shared" si="15"/>
        <v>1</v>
      </c>
      <c r="G47" s="30">
        <f t="shared" si="15"/>
        <v>1</v>
      </c>
      <c r="H47" s="30">
        <f t="shared" si="15"/>
        <v>1</v>
      </c>
      <c r="I47" s="30">
        <f t="shared" si="15"/>
        <v>1</v>
      </c>
      <c r="J47" s="30">
        <f t="shared" si="15"/>
        <v>1</v>
      </c>
    </row>
    <row r="48" spans="2:10" ht="18">
      <c r="B48" s="27" t="s">
        <v>49</v>
      </c>
      <c r="C48" s="28"/>
      <c r="D48" s="30">
        <f t="shared" si="16"/>
        <v>1</v>
      </c>
      <c r="E48" s="30">
        <f t="shared" si="15"/>
        <v>1</v>
      </c>
      <c r="F48" s="30">
        <f t="shared" si="15"/>
        <v>1</v>
      </c>
      <c r="G48" s="30">
        <f t="shared" si="15"/>
        <v>1</v>
      </c>
      <c r="H48" s="30">
        <f t="shared" si="15"/>
        <v>1</v>
      </c>
      <c r="I48" s="30">
        <f t="shared" si="15"/>
        <v>1</v>
      </c>
      <c r="J48" s="30">
        <f t="shared" si="15"/>
        <v>1</v>
      </c>
    </row>
    <row r="49" spans="2:10">
      <c r="B49" s="27" t="s">
        <v>50</v>
      </c>
      <c r="C49" s="28" t="s">
        <v>51</v>
      </c>
      <c r="D49" s="30">
        <f>(D45*D43*D41+D46*D44*D42)/(D47*D48*D33*D38)</f>
        <v>7.4745382324407856</v>
      </c>
      <c r="E49" s="30">
        <f>(E45*E43*E41+E46*E44*E42)/(E47*E48*E33*E38)</f>
        <v>5.6151323538385158</v>
      </c>
      <c r="F49" s="30">
        <f t="shared" ref="F49:J49" si="17">(F45*F43*F41+F46*F44*F42)/(F47*F48*F33*F38)</f>
        <v>5.4347809833711107</v>
      </c>
      <c r="G49" s="30">
        <f t="shared" si="17"/>
        <v>5.4082595176699275</v>
      </c>
      <c r="H49" s="30">
        <f t="shared" si="17"/>
        <v>5.4041585963488457</v>
      </c>
      <c r="I49" s="30">
        <f t="shared" si="17"/>
        <v>5.4035196596903896</v>
      </c>
      <c r="J49" s="30">
        <f t="shared" si="17"/>
        <v>5.4034199940843157</v>
      </c>
    </row>
    <row r="50" spans="2:10" ht="18">
      <c r="B50" s="27" t="s">
        <v>2</v>
      </c>
      <c r="C50" s="28" t="s">
        <v>51</v>
      </c>
      <c r="D50" s="30">
        <f>$C$4*(D32)^(-$C$5)</f>
        <v>7.7199170920501841</v>
      </c>
      <c r="E50" s="30">
        <f>D50</f>
        <v>7.7199170920501841</v>
      </c>
      <c r="F50" s="30">
        <f t="shared" ref="F50:J52" si="18">E50</f>
        <v>7.7199170920501841</v>
      </c>
      <c r="G50" s="30">
        <f t="shared" si="18"/>
        <v>7.7199170920501841</v>
      </c>
      <c r="H50" s="30">
        <f t="shared" si="18"/>
        <v>7.7199170920501841</v>
      </c>
      <c r="I50" s="30">
        <f t="shared" si="18"/>
        <v>7.7199170920501841</v>
      </c>
      <c r="J50" s="30">
        <f t="shared" si="18"/>
        <v>7.7199170920501841</v>
      </c>
    </row>
    <row r="51" spans="2:10">
      <c r="B51" s="27" t="s">
        <v>54</v>
      </c>
      <c r="C51" s="28"/>
      <c r="D51" s="30">
        <f>D25</f>
        <v>0.3</v>
      </c>
      <c r="E51" s="30">
        <f t="shared" ref="E51:E52" si="19">D51</f>
        <v>0.3</v>
      </c>
      <c r="F51" s="30">
        <f t="shared" si="18"/>
        <v>0.3</v>
      </c>
      <c r="G51" s="30">
        <f t="shared" si="18"/>
        <v>0.3</v>
      </c>
      <c r="H51" s="30">
        <f t="shared" si="18"/>
        <v>0.3</v>
      </c>
      <c r="I51" s="30">
        <f t="shared" si="18"/>
        <v>0.3</v>
      </c>
      <c r="J51" s="30">
        <f t="shared" si="18"/>
        <v>0.3</v>
      </c>
    </row>
    <row r="52" spans="2:10">
      <c r="B52" s="27" t="s">
        <v>55</v>
      </c>
      <c r="C52" s="28" t="s">
        <v>51</v>
      </c>
      <c r="D52" s="30">
        <f>D50*(1-D51)</f>
        <v>5.4039419644351288</v>
      </c>
      <c r="E52" s="30">
        <f t="shared" si="19"/>
        <v>5.4039419644351288</v>
      </c>
      <c r="F52" s="30">
        <f t="shared" si="18"/>
        <v>5.4039419644351288</v>
      </c>
      <c r="G52" s="30">
        <f t="shared" si="18"/>
        <v>5.4039419644351288</v>
      </c>
      <c r="H52" s="30">
        <f t="shared" si="18"/>
        <v>5.4039419644351288</v>
      </c>
      <c r="I52" s="30">
        <f t="shared" si="18"/>
        <v>5.4039419644351288</v>
      </c>
      <c r="J52" s="30">
        <f t="shared" si="18"/>
        <v>5.4039419644351288</v>
      </c>
    </row>
    <row r="53" spans="2:10">
      <c r="B53" s="11" t="s">
        <v>56</v>
      </c>
      <c r="C53" s="5"/>
      <c r="D53" s="30">
        <f>D49/D52</f>
        <v>1.3831640461042767</v>
      </c>
      <c r="E53" s="30">
        <f>E49/E52</f>
        <v>1.0390808026424583</v>
      </c>
      <c r="F53" s="30">
        <f t="shared" ref="F53:J53" si="20">F49/F52</f>
        <v>1.0057067635327956</v>
      </c>
      <c r="G53" s="30">
        <f t="shared" si="20"/>
        <v>1.0007989636571255</v>
      </c>
      <c r="H53" s="30">
        <f t="shared" si="20"/>
        <v>1.0000400877572599</v>
      </c>
      <c r="I53" s="30">
        <f t="shared" si="20"/>
        <v>0.9999218524648269</v>
      </c>
      <c r="J53" s="30">
        <f t="shared" si="20"/>
        <v>0.99990340933447319</v>
      </c>
    </row>
    <row r="54" spans="2:10">
      <c r="B54" s="11" t="s">
        <v>73</v>
      </c>
      <c r="C54" s="11"/>
      <c r="D54" s="32" t="str">
        <f t="shared" ref="D54:J54" si="21">IF(D49&lt;=D52,"Comply","Not Comply")</f>
        <v>Not Comply</v>
      </c>
      <c r="E54" s="32" t="str">
        <f t="shared" si="21"/>
        <v>Not Comply</v>
      </c>
      <c r="F54" s="32" t="str">
        <f t="shared" si="21"/>
        <v>Not Comply</v>
      </c>
      <c r="G54" s="32" t="str">
        <f t="shared" si="21"/>
        <v>Not Comply</v>
      </c>
      <c r="H54" s="32" t="str">
        <f t="shared" si="21"/>
        <v>Not Comply</v>
      </c>
      <c r="I54" s="32" t="str">
        <f t="shared" si="21"/>
        <v>Comply</v>
      </c>
      <c r="J54" s="32" t="str">
        <f t="shared" si="21"/>
        <v>Comply</v>
      </c>
    </row>
  </sheetData>
  <mergeCells count="4">
    <mergeCell ref="B2:E2"/>
    <mergeCell ref="B3:C3"/>
    <mergeCell ref="D3:E3"/>
    <mergeCell ref="L4:L6"/>
  </mergeCells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54"/>
  <sheetViews>
    <sheetView workbookViewId="0">
      <selection activeCell="L15" sqref="L15"/>
    </sheetView>
  </sheetViews>
  <sheetFormatPr defaultColWidth="9" defaultRowHeight="15"/>
  <cols>
    <col min="1" max="1" width="9" style="1" customWidth="1"/>
    <col min="2" max="2" width="16.28515625" style="1" customWidth="1"/>
    <col min="3" max="3" width="14.5703125" style="1" customWidth="1"/>
    <col min="4" max="10" width="12.5703125" style="1" customWidth="1"/>
    <col min="11" max="11" width="9" style="1" customWidth="1"/>
    <col min="12" max="12" width="28" style="1" customWidth="1"/>
    <col min="13" max="13" width="36.140625" style="1" customWidth="1"/>
    <col min="14" max="14" width="15.42578125" style="1" customWidth="1"/>
    <col min="15" max="16384" width="9" style="1"/>
  </cols>
  <sheetData>
    <row r="2" spans="2:14" ht="18.75">
      <c r="B2" s="50" t="s">
        <v>76</v>
      </c>
      <c r="C2" s="51"/>
      <c r="D2" s="51"/>
      <c r="E2" s="51"/>
      <c r="H2" s="2"/>
      <c r="I2" s="2"/>
      <c r="J2" s="2"/>
      <c r="L2" s="3" t="s">
        <v>1</v>
      </c>
    </row>
    <row r="3" spans="2:14" ht="30">
      <c r="B3" s="52" t="s">
        <v>2</v>
      </c>
      <c r="C3" s="53"/>
      <c r="D3" s="52" t="s">
        <v>3</v>
      </c>
      <c r="E3" s="53"/>
      <c r="H3" s="2"/>
      <c r="I3" s="2"/>
      <c r="J3" s="2"/>
      <c r="L3" s="4" t="s">
        <v>4</v>
      </c>
      <c r="M3" s="4" t="s">
        <v>5</v>
      </c>
      <c r="N3" s="4" t="s">
        <v>6</v>
      </c>
    </row>
    <row r="4" spans="2:14">
      <c r="B4" s="5" t="s">
        <v>7</v>
      </c>
      <c r="C4" s="6">
        <v>1120</v>
      </c>
      <c r="D4" s="5" t="s">
        <v>8</v>
      </c>
      <c r="E4" s="7">
        <v>11.0556</v>
      </c>
      <c r="H4" s="2"/>
      <c r="I4" s="2"/>
      <c r="J4" s="2"/>
      <c r="L4" s="4" t="s">
        <v>52</v>
      </c>
      <c r="M4" s="4" t="s">
        <v>53</v>
      </c>
      <c r="N4" s="4">
        <v>30</v>
      </c>
    </row>
    <row r="5" spans="2:14">
      <c r="B5" s="5" t="s">
        <v>9</v>
      </c>
      <c r="C5" s="8">
        <v>0.45600000000000002</v>
      </c>
      <c r="D5" s="5" t="s">
        <v>10</v>
      </c>
      <c r="E5" s="9">
        <v>5.0279999999999998E-2</v>
      </c>
      <c r="L5" s="1" t="s">
        <v>59</v>
      </c>
    </row>
    <row r="6" spans="2:14">
      <c r="L6" s="1" t="s">
        <v>60</v>
      </c>
    </row>
    <row r="7" spans="2:14">
      <c r="B7" s="10" t="s">
        <v>69</v>
      </c>
      <c r="C7" s="10" t="s">
        <v>70</v>
      </c>
      <c r="D7" s="5" t="s">
        <v>14</v>
      </c>
      <c r="E7" s="5" t="s">
        <v>15</v>
      </c>
      <c r="F7" s="5" t="s">
        <v>15</v>
      </c>
      <c r="G7" s="5" t="s">
        <v>15</v>
      </c>
      <c r="H7" s="5" t="s">
        <v>15</v>
      </c>
      <c r="I7" s="5" t="s">
        <v>15</v>
      </c>
      <c r="J7" s="5" t="s">
        <v>15</v>
      </c>
    </row>
    <row r="8" spans="2:14">
      <c r="B8" s="11"/>
      <c r="C8" s="5" t="s">
        <v>17</v>
      </c>
      <c r="D8" s="12" t="s">
        <v>18</v>
      </c>
      <c r="E8" s="5" t="s">
        <v>19</v>
      </c>
      <c r="F8" s="5" t="s">
        <v>20</v>
      </c>
      <c r="G8" s="5" t="s">
        <v>21</v>
      </c>
      <c r="H8" s="5" t="s">
        <v>22</v>
      </c>
      <c r="I8" s="5" t="s">
        <v>23</v>
      </c>
      <c r="J8" s="5" t="s">
        <v>71</v>
      </c>
    </row>
    <row r="9" spans="2:14">
      <c r="B9" s="13" t="s">
        <v>26</v>
      </c>
      <c r="C9" s="14" t="s">
        <v>27</v>
      </c>
      <c r="D9" s="15">
        <v>55000</v>
      </c>
      <c r="E9" s="16">
        <f>D9</f>
        <v>55000</v>
      </c>
      <c r="F9" s="16">
        <f t="shared" ref="F9:J11" si="0">E9</f>
        <v>55000</v>
      </c>
      <c r="G9" s="16">
        <f t="shared" si="0"/>
        <v>55000</v>
      </c>
      <c r="H9" s="16">
        <f t="shared" si="0"/>
        <v>55000</v>
      </c>
      <c r="I9" s="16">
        <f t="shared" si="0"/>
        <v>55000</v>
      </c>
      <c r="J9" s="16">
        <f t="shared" si="0"/>
        <v>55000</v>
      </c>
    </row>
    <row r="10" spans="2:14">
      <c r="B10" s="11" t="s">
        <v>72</v>
      </c>
      <c r="C10" s="17" t="s">
        <v>30</v>
      </c>
      <c r="D10" s="18">
        <f>D9</f>
        <v>55000</v>
      </c>
      <c r="E10" s="18">
        <f>D10</f>
        <v>55000</v>
      </c>
      <c r="F10" s="18">
        <f t="shared" si="0"/>
        <v>55000</v>
      </c>
      <c r="G10" s="18">
        <f t="shared" si="0"/>
        <v>55000</v>
      </c>
      <c r="H10" s="18">
        <f t="shared" si="0"/>
        <v>55000</v>
      </c>
      <c r="I10" s="18">
        <f t="shared" si="0"/>
        <v>55000</v>
      </c>
      <c r="J10" s="18">
        <f t="shared" si="0"/>
        <v>55000</v>
      </c>
    </row>
    <row r="11" spans="2:14" ht="18">
      <c r="B11" s="11" t="s">
        <v>32</v>
      </c>
      <c r="C11" s="5" t="s">
        <v>33</v>
      </c>
      <c r="D11" s="19">
        <v>14000</v>
      </c>
      <c r="E11" s="20">
        <f>D11</f>
        <v>14000</v>
      </c>
      <c r="F11" s="20">
        <f t="shared" si="0"/>
        <v>14000</v>
      </c>
      <c r="G11" s="20">
        <f t="shared" si="0"/>
        <v>14000</v>
      </c>
      <c r="H11" s="20">
        <f t="shared" si="0"/>
        <v>14000</v>
      </c>
      <c r="I11" s="20">
        <f t="shared" si="0"/>
        <v>14000</v>
      </c>
      <c r="J11" s="20">
        <f t="shared" si="0"/>
        <v>14000</v>
      </c>
    </row>
    <row r="12" spans="2:14" ht="18">
      <c r="B12" s="11" t="s">
        <v>34</v>
      </c>
      <c r="C12" s="5" t="s">
        <v>33</v>
      </c>
      <c r="D12" s="21" t="s">
        <v>35</v>
      </c>
      <c r="E12" s="18">
        <f>E15/0.75</f>
        <v>9675.3180521492613</v>
      </c>
      <c r="F12" s="18">
        <f t="shared" ref="F12:J12" si="1">F15/0.75</f>
        <v>9283.589825580204</v>
      </c>
      <c r="G12" s="18">
        <f t="shared" si="1"/>
        <v>9232.1331807232564</v>
      </c>
      <c r="H12" s="18">
        <f t="shared" si="1"/>
        <v>9225.0866874396852</v>
      </c>
      <c r="I12" s="18">
        <f t="shared" si="1"/>
        <v>9224.1163211668463</v>
      </c>
      <c r="J12" s="18">
        <f t="shared" si="1"/>
        <v>9223.9825900978358</v>
      </c>
    </row>
    <row r="13" spans="2:14" ht="18" customHeight="1">
      <c r="B13" s="11" t="s">
        <v>36</v>
      </c>
      <c r="C13" s="5" t="s">
        <v>37</v>
      </c>
      <c r="D13" s="21" t="s">
        <v>35</v>
      </c>
      <c r="E13" s="18">
        <f>E15*1.15</f>
        <v>8344.9618199787365</v>
      </c>
      <c r="F13" s="18">
        <f t="shared" ref="F13:J13" si="2">F15*1.15</f>
        <v>8007.0962245629244</v>
      </c>
      <c r="G13" s="18">
        <f t="shared" si="2"/>
        <v>7962.7148683738078</v>
      </c>
      <c r="H13" s="18">
        <f t="shared" si="2"/>
        <v>7956.637267916728</v>
      </c>
      <c r="I13" s="18">
        <f t="shared" si="2"/>
        <v>7955.8003270064046</v>
      </c>
      <c r="J13" s="18">
        <f t="shared" si="2"/>
        <v>7955.6849839593824</v>
      </c>
    </row>
    <row r="14" spans="2:14" ht="18">
      <c r="B14" s="22" t="s">
        <v>38</v>
      </c>
      <c r="C14" s="23" t="s">
        <v>39</v>
      </c>
      <c r="D14" s="24">
        <v>17</v>
      </c>
      <c r="E14" s="6">
        <f>D14*(E15/D15)^(1/3)</f>
        <v>15.030081178458737</v>
      </c>
      <c r="F14" s="6">
        <f t="shared" ref="F14:J14" si="3">E14*(F15/E15)^(1/3)</f>
        <v>14.824437523248246</v>
      </c>
      <c r="G14" s="6">
        <f t="shared" si="3"/>
        <v>14.796997364368998</v>
      </c>
      <c r="H14" s="6">
        <f t="shared" si="3"/>
        <v>14.793231767286855</v>
      </c>
      <c r="I14" s="6">
        <f t="shared" si="3"/>
        <v>14.79271306009174</v>
      </c>
      <c r="J14" s="6">
        <f t="shared" si="3"/>
        <v>14.792641571585508</v>
      </c>
    </row>
    <row r="15" spans="2:14" ht="18">
      <c r="B15" s="11" t="s">
        <v>40</v>
      </c>
      <c r="C15" s="5" t="s">
        <v>33</v>
      </c>
      <c r="D15" s="18">
        <f>0.75*D11</f>
        <v>10500</v>
      </c>
      <c r="E15" s="18">
        <f>(0.9999*1/D27)^(3/2)*D15</f>
        <v>7256.488539111946</v>
      </c>
      <c r="F15" s="18">
        <f t="shared" ref="F15:J15" si="4">(0.9999*1/E27)^(3/2)*E15</f>
        <v>6962.6923691851525</v>
      </c>
      <c r="G15" s="18">
        <f t="shared" si="4"/>
        <v>6924.0998855424423</v>
      </c>
      <c r="H15" s="18">
        <f t="shared" si="4"/>
        <v>6918.8150155797639</v>
      </c>
      <c r="I15" s="18">
        <f t="shared" si="4"/>
        <v>6918.0872408751347</v>
      </c>
      <c r="J15" s="18">
        <f t="shared" si="4"/>
        <v>6917.9869425733768</v>
      </c>
    </row>
    <row r="16" spans="2:14" ht="18">
      <c r="B16" s="11" t="s">
        <v>41</v>
      </c>
      <c r="C16" s="5" t="s">
        <v>33</v>
      </c>
      <c r="D16" s="18">
        <f>IF(D11&gt;=10000,0.025*D11+250,0.05*D11)</f>
        <v>600</v>
      </c>
      <c r="E16" s="18">
        <f t="shared" ref="E16:J22" si="5">D16</f>
        <v>600</v>
      </c>
      <c r="F16" s="18">
        <f t="shared" si="5"/>
        <v>600</v>
      </c>
      <c r="G16" s="18">
        <f t="shared" si="5"/>
        <v>600</v>
      </c>
      <c r="H16" s="18">
        <f t="shared" si="5"/>
        <v>600</v>
      </c>
      <c r="I16" s="18">
        <f t="shared" si="5"/>
        <v>600</v>
      </c>
      <c r="J16" s="18">
        <f t="shared" si="5"/>
        <v>600</v>
      </c>
    </row>
    <row r="17" spans="2:10" ht="18">
      <c r="B17" s="22" t="s">
        <v>42</v>
      </c>
      <c r="C17" s="23" t="s">
        <v>43</v>
      </c>
      <c r="D17" s="25">
        <v>180</v>
      </c>
      <c r="E17" s="26">
        <f t="shared" si="5"/>
        <v>180</v>
      </c>
      <c r="F17" s="26">
        <f t="shared" si="5"/>
        <v>180</v>
      </c>
      <c r="G17" s="26">
        <f t="shared" si="5"/>
        <v>180</v>
      </c>
      <c r="H17" s="26">
        <f t="shared" si="5"/>
        <v>180</v>
      </c>
      <c r="I17" s="26">
        <f t="shared" si="5"/>
        <v>180</v>
      </c>
      <c r="J17" s="26">
        <f t="shared" si="5"/>
        <v>180</v>
      </c>
    </row>
    <row r="18" spans="2:10" ht="18">
      <c r="B18" s="22" t="s">
        <v>44</v>
      </c>
      <c r="C18" s="23" t="s">
        <v>43</v>
      </c>
      <c r="D18" s="25">
        <v>210</v>
      </c>
      <c r="E18" s="26">
        <f t="shared" si="5"/>
        <v>210</v>
      </c>
      <c r="F18" s="26">
        <f t="shared" si="5"/>
        <v>210</v>
      </c>
      <c r="G18" s="26">
        <f t="shared" si="5"/>
        <v>210</v>
      </c>
      <c r="H18" s="26">
        <f t="shared" si="5"/>
        <v>210</v>
      </c>
      <c r="I18" s="26">
        <f t="shared" si="5"/>
        <v>210</v>
      </c>
      <c r="J18" s="26">
        <f t="shared" si="5"/>
        <v>210</v>
      </c>
    </row>
    <row r="19" spans="2:10" ht="18">
      <c r="B19" s="27" t="s">
        <v>45</v>
      </c>
      <c r="C19" s="28" t="s">
        <v>46</v>
      </c>
      <c r="D19" s="29">
        <v>3.206</v>
      </c>
      <c r="E19" s="8">
        <f t="shared" si="5"/>
        <v>3.206</v>
      </c>
      <c r="F19" s="8">
        <f t="shared" si="5"/>
        <v>3.206</v>
      </c>
      <c r="G19" s="8">
        <f t="shared" si="5"/>
        <v>3.206</v>
      </c>
      <c r="H19" s="8">
        <f t="shared" si="5"/>
        <v>3.206</v>
      </c>
      <c r="I19" s="8">
        <f t="shared" si="5"/>
        <v>3.206</v>
      </c>
      <c r="J19" s="8">
        <f t="shared" si="5"/>
        <v>3.206</v>
      </c>
    </row>
    <row r="20" spans="2:10" ht="18">
      <c r="B20" s="27" t="s">
        <v>47</v>
      </c>
      <c r="C20" s="28" t="s">
        <v>46</v>
      </c>
      <c r="D20" s="29">
        <v>3.206</v>
      </c>
      <c r="E20" s="8">
        <f t="shared" si="5"/>
        <v>3.206</v>
      </c>
      <c r="F20" s="8">
        <f t="shared" si="5"/>
        <v>3.206</v>
      </c>
      <c r="G20" s="8">
        <f t="shared" si="5"/>
        <v>3.206</v>
      </c>
      <c r="H20" s="8">
        <f t="shared" si="5"/>
        <v>3.206</v>
      </c>
      <c r="I20" s="8">
        <f t="shared" si="5"/>
        <v>3.206</v>
      </c>
      <c r="J20" s="8">
        <f t="shared" si="5"/>
        <v>3.206</v>
      </c>
    </row>
    <row r="21" spans="2:10" ht="18">
      <c r="B21" s="27" t="s">
        <v>48</v>
      </c>
      <c r="C21" s="28"/>
      <c r="D21" s="29">
        <v>1</v>
      </c>
      <c r="E21" s="8">
        <f t="shared" si="5"/>
        <v>1</v>
      </c>
      <c r="F21" s="8">
        <f t="shared" si="5"/>
        <v>1</v>
      </c>
      <c r="G21" s="8">
        <f t="shared" si="5"/>
        <v>1</v>
      </c>
      <c r="H21" s="8">
        <f t="shared" si="5"/>
        <v>1</v>
      </c>
      <c r="I21" s="8">
        <f t="shared" si="5"/>
        <v>1</v>
      </c>
      <c r="J21" s="8">
        <f t="shared" si="5"/>
        <v>1</v>
      </c>
    </row>
    <row r="22" spans="2:10" ht="18">
      <c r="B22" s="27" t="s">
        <v>49</v>
      </c>
      <c r="C22" s="28"/>
      <c r="D22" s="29">
        <v>1</v>
      </c>
      <c r="E22" s="8">
        <f t="shared" si="5"/>
        <v>1</v>
      </c>
      <c r="F22" s="8">
        <f t="shared" si="5"/>
        <v>1</v>
      </c>
      <c r="G22" s="8">
        <f t="shared" si="5"/>
        <v>1</v>
      </c>
      <c r="H22" s="8">
        <f t="shared" si="5"/>
        <v>1</v>
      </c>
      <c r="I22" s="8">
        <f t="shared" si="5"/>
        <v>1</v>
      </c>
      <c r="J22" s="8">
        <f t="shared" si="5"/>
        <v>1</v>
      </c>
    </row>
    <row r="23" spans="2:10">
      <c r="B23" s="27" t="s">
        <v>50</v>
      </c>
      <c r="C23" s="28" t="s">
        <v>51</v>
      </c>
      <c r="D23" s="30">
        <f>(D19*D17*D15+D20*D18*D16)/(D21*D22*D10*D14)</f>
        <v>6.9126160427807486</v>
      </c>
      <c r="E23" s="30">
        <f>(E19*E17*E15+E20*E18*E16)/(E21*E22*E10*E14)</f>
        <v>5.5543526365359881</v>
      </c>
      <c r="F23" s="30">
        <f>(F19*F17*F15+F20*F18*F16)/(F21*F22*F10*F14)</f>
        <v>5.4234607313089267</v>
      </c>
      <c r="G23" s="30">
        <f t="shared" ref="G23:J23" si="6">(G19*G17*G15+G20*G18*G16)/(G21*G22*G10*G14)</f>
        <v>5.4061527774341789</v>
      </c>
      <c r="H23" s="30">
        <f t="shared" si="6"/>
        <v>5.4037805179545035</v>
      </c>
      <c r="I23" s="30">
        <f t="shared" si="6"/>
        <v>5.4034537964808145</v>
      </c>
      <c r="J23" s="30">
        <f t="shared" si="6"/>
        <v>5.4034087685924206</v>
      </c>
    </row>
    <row r="24" spans="2:10" ht="18">
      <c r="B24" s="27" t="s">
        <v>2</v>
      </c>
      <c r="C24" s="28" t="s">
        <v>51</v>
      </c>
      <c r="D24" s="30">
        <f>$C$4*D9^(-$C$5)</f>
        <v>7.7199170920501841</v>
      </c>
      <c r="E24" s="30">
        <f t="shared" ref="E24:J26" si="7">D24</f>
        <v>7.7199170920501841</v>
      </c>
      <c r="F24" s="30">
        <f t="shared" si="7"/>
        <v>7.7199170920501841</v>
      </c>
      <c r="G24" s="30">
        <f t="shared" si="7"/>
        <v>7.7199170920501841</v>
      </c>
      <c r="H24" s="30">
        <f t="shared" si="7"/>
        <v>7.7199170920501841</v>
      </c>
      <c r="I24" s="30">
        <f t="shared" si="7"/>
        <v>7.7199170920501841</v>
      </c>
      <c r="J24" s="30">
        <f t="shared" si="7"/>
        <v>7.7199170920501841</v>
      </c>
    </row>
    <row r="25" spans="2:10">
      <c r="B25" s="27" t="s">
        <v>54</v>
      </c>
      <c r="C25" s="28"/>
      <c r="D25" s="31">
        <v>0.3</v>
      </c>
      <c r="E25" s="30">
        <f t="shared" si="7"/>
        <v>0.3</v>
      </c>
      <c r="F25" s="30">
        <f t="shared" si="7"/>
        <v>0.3</v>
      </c>
      <c r="G25" s="30">
        <f t="shared" si="7"/>
        <v>0.3</v>
      </c>
      <c r="H25" s="30">
        <f t="shared" si="7"/>
        <v>0.3</v>
      </c>
      <c r="I25" s="30">
        <f t="shared" si="7"/>
        <v>0.3</v>
      </c>
      <c r="J25" s="30">
        <f t="shared" si="7"/>
        <v>0.3</v>
      </c>
    </row>
    <row r="26" spans="2:10">
      <c r="B26" s="27" t="s">
        <v>55</v>
      </c>
      <c r="C26" s="28" t="s">
        <v>51</v>
      </c>
      <c r="D26" s="30">
        <f>D24*(1-D25)</f>
        <v>5.4039419644351288</v>
      </c>
      <c r="E26" s="30">
        <f t="shared" si="7"/>
        <v>5.4039419644351288</v>
      </c>
      <c r="F26" s="30">
        <f t="shared" si="7"/>
        <v>5.4039419644351288</v>
      </c>
      <c r="G26" s="30">
        <f t="shared" si="7"/>
        <v>5.4039419644351288</v>
      </c>
      <c r="H26" s="30">
        <f t="shared" si="7"/>
        <v>5.4039419644351288</v>
      </c>
      <c r="I26" s="30">
        <f t="shared" si="7"/>
        <v>5.4039419644351288</v>
      </c>
      <c r="J26" s="30">
        <f t="shared" si="7"/>
        <v>5.4039419644351288</v>
      </c>
    </row>
    <row r="27" spans="2:10">
      <c r="B27" s="11" t="s">
        <v>56</v>
      </c>
      <c r="C27" s="5"/>
      <c r="D27" s="30">
        <f>D23/D26</f>
        <v>1.2791802888103962</v>
      </c>
      <c r="E27" s="30">
        <f>E23/E26</f>
        <v>1.0278335098879214</v>
      </c>
      <c r="F27" s="30">
        <f t="shared" ref="F27:J27" si="8">F23/F26</f>
        <v>1.0036119497585756</v>
      </c>
      <c r="G27" s="30">
        <f t="shared" si="8"/>
        <v>1.0004091111661821</v>
      </c>
      <c r="H27" s="30">
        <f t="shared" si="8"/>
        <v>0.99997012431264298</v>
      </c>
      <c r="I27" s="30">
        <f t="shared" si="8"/>
        <v>0.99990966447131979</v>
      </c>
      <c r="J27" s="30">
        <f t="shared" si="8"/>
        <v>0.99990133205607734</v>
      </c>
    </row>
    <row r="28" spans="2:10">
      <c r="B28" s="11" t="s">
        <v>73</v>
      </c>
      <c r="C28" s="5"/>
      <c r="D28" s="32" t="str">
        <f>IF(D23&lt;=D26,"Comply","Not Comply")</f>
        <v>Not Comply</v>
      </c>
      <c r="E28" s="32" t="str">
        <f t="shared" ref="E28:J28" si="9">IF(E23&lt;=E26,"Comply","Not Comply")</f>
        <v>Not Comply</v>
      </c>
      <c r="F28" s="32" t="str">
        <f t="shared" si="9"/>
        <v>Not Comply</v>
      </c>
      <c r="G28" s="32" t="str">
        <f t="shared" si="9"/>
        <v>Not Comply</v>
      </c>
      <c r="H28" s="32" t="str">
        <f t="shared" si="9"/>
        <v>Comply</v>
      </c>
      <c r="I28" s="32" t="str">
        <f t="shared" si="9"/>
        <v>Comply</v>
      </c>
      <c r="J28" s="32" t="str">
        <f t="shared" si="9"/>
        <v>Comply</v>
      </c>
    </row>
    <row r="29" spans="2:10">
      <c r="B29" s="2"/>
      <c r="C29" s="2"/>
      <c r="D29" s="2"/>
      <c r="E29" s="2"/>
      <c r="F29" s="2"/>
      <c r="G29" s="2"/>
      <c r="H29" s="2"/>
      <c r="I29" s="2"/>
      <c r="J29" s="2"/>
    </row>
    <row r="30" spans="2:10">
      <c r="B30" s="10" t="str">
        <f>B7</f>
        <v>LPG carrier</v>
      </c>
      <c r="C30" s="10" t="str">
        <f>C7</f>
        <v>VLGC(83Km3)</v>
      </c>
      <c r="D30" s="5" t="s">
        <v>14</v>
      </c>
      <c r="E30" s="5" t="s">
        <v>15</v>
      </c>
      <c r="F30" s="5" t="s">
        <v>15</v>
      </c>
      <c r="G30" s="5" t="s">
        <v>15</v>
      </c>
      <c r="H30" s="5" t="s">
        <v>15</v>
      </c>
      <c r="I30" s="5" t="s">
        <v>15</v>
      </c>
      <c r="J30" s="5" t="s">
        <v>15</v>
      </c>
    </row>
    <row r="31" spans="2:10">
      <c r="B31" s="11"/>
      <c r="C31" s="5" t="s">
        <v>17</v>
      </c>
      <c r="D31" s="12" t="s">
        <v>58</v>
      </c>
      <c r="E31" s="5" t="s">
        <v>19</v>
      </c>
      <c r="F31" s="5" t="s">
        <v>20</v>
      </c>
      <c r="G31" s="5" t="s">
        <v>21</v>
      </c>
      <c r="H31" s="5" t="s">
        <v>22</v>
      </c>
      <c r="I31" s="5" t="s">
        <v>23</v>
      </c>
      <c r="J31" s="5" t="s">
        <v>71</v>
      </c>
    </row>
    <row r="32" spans="2:10">
      <c r="B32" s="13" t="s">
        <v>26</v>
      </c>
      <c r="C32" s="14" t="s">
        <v>27</v>
      </c>
      <c r="D32" s="16">
        <f>D9</f>
        <v>55000</v>
      </c>
      <c r="E32" s="16">
        <f>D32</f>
        <v>55000</v>
      </c>
      <c r="F32" s="16">
        <f t="shared" ref="F32:J34" si="10">E32</f>
        <v>55000</v>
      </c>
      <c r="G32" s="16">
        <f t="shared" si="10"/>
        <v>55000</v>
      </c>
      <c r="H32" s="16">
        <f t="shared" si="10"/>
        <v>55000</v>
      </c>
      <c r="I32" s="16">
        <f t="shared" si="10"/>
        <v>55000</v>
      </c>
      <c r="J32" s="16">
        <f t="shared" si="10"/>
        <v>55000</v>
      </c>
    </row>
    <row r="33" spans="2:10">
      <c r="B33" s="11" t="s">
        <v>61</v>
      </c>
      <c r="C33" s="17" t="s">
        <v>30</v>
      </c>
      <c r="D33" s="18">
        <f>D10</f>
        <v>55000</v>
      </c>
      <c r="E33" s="18">
        <f>D33</f>
        <v>55000</v>
      </c>
      <c r="F33" s="18">
        <f t="shared" si="10"/>
        <v>55000</v>
      </c>
      <c r="G33" s="18">
        <f t="shared" si="10"/>
        <v>55000</v>
      </c>
      <c r="H33" s="18">
        <f t="shared" si="10"/>
        <v>55000</v>
      </c>
      <c r="I33" s="18">
        <f t="shared" si="10"/>
        <v>55000</v>
      </c>
      <c r="J33" s="18">
        <f t="shared" si="10"/>
        <v>55000</v>
      </c>
    </row>
    <row r="34" spans="2:10" ht="18">
      <c r="B34" s="11" t="s">
        <v>32</v>
      </c>
      <c r="C34" s="5" t="s">
        <v>33</v>
      </c>
      <c r="D34" s="18">
        <f>D11</f>
        <v>14000</v>
      </c>
      <c r="E34" s="20">
        <f>D34</f>
        <v>14000</v>
      </c>
      <c r="F34" s="20">
        <f t="shared" si="10"/>
        <v>14000</v>
      </c>
      <c r="G34" s="20">
        <f t="shared" si="10"/>
        <v>14000</v>
      </c>
      <c r="H34" s="20">
        <f t="shared" si="10"/>
        <v>14000</v>
      </c>
      <c r="I34" s="20">
        <f t="shared" si="10"/>
        <v>14000</v>
      </c>
      <c r="J34" s="20">
        <f t="shared" si="10"/>
        <v>14000</v>
      </c>
    </row>
    <row r="35" spans="2:10" ht="18">
      <c r="B35" s="11" t="s">
        <v>34</v>
      </c>
      <c r="C35" s="5" t="s">
        <v>33</v>
      </c>
      <c r="D35" s="21" t="s">
        <v>35</v>
      </c>
      <c r="E35" s="18">
        <f>E41/0.75</f>
        <v>9632.4269757234924</v>
      </c>
      <c r="F35" s="18">
        <f t="shared" ref="F35:J35" si="11">F41/0.75</f>
        <v>9237.0068833320529</v>
      </c>
      <c r="G35" s="18">
        <f t="shared" si="11"/>
        <v>9184.8589194822343</v>
      </c>
      <c r="H35" s="18">
        <f t="shared" si="11"/>
        <v>9177.6851546225789</v>
      </c>
      <c r="I35" s="18">
        <f t="shared" si="11"/>
        <v>9176.6926487032633</v>
      </c>
      <c r="J35" s="18">
        <f t="shared" si="11"/>
        <v>9176.5552252628386</v>
      </c>
    </row>
    <row r="36" spans="2:10" ht="18">
      <c r="B36" s="11" t="s">
        <v>36</v>
      </c>
      <c r="C36" s="5" t="s">
        <v>37</v>
      </c>
      <c r="D36" s="21" t="s">
        <v>35</v>
      </c>
      <c r="E36" s="18">
        <f>E41*1.15</f>
        <v>8307.968266561511</v>
      </c>
      <c r="F36" s="18">
        <f t="shared" ref="F36:J36" si="12">F41*1.15</f>
        <v>7966.9184368738943</v>
      </c>
      <c r="G36" s="18">
        <f t="shared" si="12"/>
        <v>7921.9408180534265</v>
      </c>
      <c r="H36" s="18">
        <f t="shared" si="12"/>
        <v>7915.7534458619739</v>
      </c>
      <c r="I36" s="18">
        <f t="shared" si="12"/>
        <v>7914.8974095065641</v>
      </c>
      <c r="J36" s="18">
        <f t="shared" si="12"/>
        <v>7914.7788817891978</v>
      </c>
    </row>
    <row r="37" spans="2:10" ht="18">
      <c r="B37" s="11" t="s">
        <v>62</v>
      </c>
      <c r="C37" s="5" t="s">
        <v>33</v>
      </c>
      <c r="D37" s="20">
        <f>IF(D34&gt;=10000,((D33*D50*D39/3.1144-215*250)/(190*0.75+215*0.025)),((D33*D50*D39)/(3.1144*(190*0.75+215*0.05))))</f>
        <v>17282.015771848244</v>
      </c>
      <c r="E37" s="21" t="s">
        <v>35</v>
      </c>
      <c r="F37" s="21" t="s">
        <v>35</v>
      </c>
      <c r="G37" s="21" t="s">
        <v>35</v>
      </c>
      <c r="H37" s="21" t="s">
        <v>35</v>
      </c>
      <c r="I37" s="21" t="s">
        <v>35</v>
      </c>
      <c r="J37" s="21" t="s">
        <v>35</v>
      </c>
    </row>
    <row r="38" spans="2:10" ht="18">
      <c r="B38" s="22" t="s">
        <v>63</v>
      </c>
      <c r="C38" s="23" t="s">
        <v>39</v>
      </c>
      <c r="D38" s="33">
        <f>(D39-D40)*(D34/D37)^(1/3)</f>
        <v>16.949721681260886</v>
      </c>
      <c r="E38" s="33">
        <f>D38*(E41/D41)^(1/3)</f>
        <v>14.96345222041972</v>
      </c>
      <c r="F38" s="33">
        <f t="shared" ref="F38:J38" si="13">E38*(F41/E41)^(1/3)</f>
        <v>14.755830184522386</v>
      </c>
      <c r="G38" s="33">
        <f t="shared" si="13"/>
        <v>14.728009516159007</v>
      </c>
      <c r="H38" s="33">
        <f t="shared" si="13"/>
        <v>14.724174117158903</v>
      </c>
      <c r="I38" s="33">
        <f t="shared" si="13"/>
        <v>14.723643324024975</v>
      </c>
      <c r="J38" s="33">
        <f t="shared" si="13"/>
        <v>14.72356982681856</v>
      </c>
    </row>
    <row r="39" spans="2:10" ht="18">
      <c r="B39" s="22" t="s">
        <v>64</v>
      </c>
      <c r="C39" s="23" t="s">
        <v>39</v>
      </c>
      <c r="D39" s="34">
        <f>E4*D32^E5</f>
        <v>19.139375067701543</v>
      </c>
      <c r="E39" s="35" t="s">
        <v>35</v>
      </c>
      <c r="F39" s="35" t="s">
        <v>35</v>
      </c>
      <c r="G39" s="35" t="s">
        <v>35</v>
      </c>
      <c r="H39" s="35" t="s">
        <v>35</v>
      </c>
      <c r="I39" s="35" t="s">
        <v>35</v>
      </c>
      <c r="J39" s="35" t="s">
        <v>35</v>
      </c>
    </row>
    <row r="40" spans="2:10">
      <c r="B40" s="22" t="s">
        <v>65</v>
      </c>
      <c r="C40" s="23" t="s">
        <v>39</v>
      </c>
      <c r="D40" s="33">
        <f>MIN(1,D39*0.05)</f>
        <v>0.95696875338507725</v>
      </c>
      <c r="E40" s="35" t="s">
        <v>35</v>
      </c>
      <c r="F40" s="35" t="s">
        <v>35</v>
      </c>
      <c r="G40" s="35" t="s">
        <v>35</v>
      </c>
      <c r="H40" s="35" t="s">
        <v>35</v>
      </c>
      <c r="I40" s="35" t="s">
        <v>35</v>
      </c>
      <c r="J40" s="35" t="s">
        <v>35</v>
      </c>
    </row>
    <row r="41" spans="2:10" ht="18">
      <c r="B41" s="11" t="s">
        <v>40</v>
      </c>
      <c r="C41" s="5" t="s">
        <v>33</v>
      </c>
      <c r="D41" s="18">
        <f>0.75*D34</f>
        <v>10500</v>
      </c>
      <c r="E41" s="18">
        <f>(0.9999*1/D53)^(3/2)*D41</f>
        <v>7224.3202317926189</v>
      </c>
      <c r="F41" s="18">
        <f t="shared" ref="F41:J41" si="14">(0.9999*1/E53)^(3/2)*E41</f>
        <v>6927.7551624990392</v>
      </c>
      <c r="G41" s="18">
        <f t="shared" si="14"/>
        <v>6888.6441896116758</v>
      </c>
      <c r="H41" s="18">
        <f t="shared" si="14"/>
        <v>6883.2638659669346</v>
      </c>
      <c r="I41" s="18">
        <f t="shared" si="14"/>
        <v>6882.519486527448</v>
      </c>
      <c r="J41" s="18">
        <f t="shared" si="14"/>
        <v>6882.4164189471294</v>
      </c>
    </row>
    <row r="42" spans="2:10" ht="18">
      <c r="B42" s="11" t="s">
        <v>41</v>
      </c>
      <c r="C42" s="5" t="s">
        <v>33</v>
      </c>
      <c r="D42" s="18">
        <f>IF(D34&gt;=10000,0.025*D34+250,0.05*D34)</f>
        <v>600</v>
      </c>
      <c r="E42" s="18">
        <f t="shared" ref="E42:J48" si="15">D42</f>
        <v>600</v>
      </c>
      <c r="F42" s="18">
        <f t="shared" si="15"/>
        <v>600</v>
      </c>
      <c r="G42" s="18">
        <f t="shared" si="15"/>
        <v>600</v>
      </c>
      <c r="H42" s="18">
        <f t="shared" si="15"/>
        <v>600</v>
      </c>
      <c r="I42" s="18">
        <f t="shared" si="15"/>
        <v>600</v>
      </c>
      <c r="J42" s="18">
        <f t="shared" si="15"/>
        <v>600</v>
      </c>
    </row>
    <row r="43" spans="2:10" ht="18">
      <c r="B43" s="22" t="s">
        <v>42</v>
      </c>
      <c r="C43" s="23" t="s">
        <v>43</v>
      </c>
      <c r="D43" s="26">
        <f t="shared" ref="D43:D48" si="16">D17</f>
        <v>180</v>
      </c>
      <c r="E43" s="26">
        <f t="shared" si="15"/>
        <v>180</v>
      </c>
      <c r="F43" s="26">
        <f t="shared" si="15"/>
        <v>180</v>
      </c>
      <c r="G43" s="26">
        <f t="shared" si="15"/>
        <v>180</v>
      </c>
      <c r="H43" s="26">
        <f t="shared" si="15"/>
        <v>180</v>
      </c>
      <c r="I43" s="26">
        <f t="shared" si="15"/>
        <v>180</v>
      </c>
      <c r="J43" s="26">
        <f t="shared" si="15"/>
        <v>180</v>
      </c>
    </row>
    <row r="44" spans="2:10" ht="18">
      <c r="B44" s="22" t="s">
        <v>44</v>
      </c>
      <c r="C44" s="23" t="s">
        <v>43</v>
      </c>
      <c r="D44" s="26">
        <f t="shared" si="16"/>
        <v>210</v>
      </c>
      <c r="E44" s="26">
        <f t="shared" si="15"/>
        <v>210</v>
      </c>
      <c r="F44" s="26">
        <f t="shared" si="15"/>
        <v>210</v>
      </c>
      <c r="G44" s="26">
        <f t="shared" si="15"/>
        <v>210</v>
      </c>
      <c r="H44" s="26">
        <f t="shared" si="15"/>
        <v>210</v>
      </c>
      <c r="I44" s="26">
        <f t="shared" si="15"/>
        <v>210</v>
      </c>
      <c r="J44" s="26">
        <f t="shared" si="15"/>
        <v>210</v>
      </c>
    </row>
    <row r="45" spans="2:10" ht="18">
      <c r="B45" s="27" t="s">
        <v>45</v>
      </c>
      <c r="C45" s="28" t="s">
        <v>46</v>
      </c>
      <c r="D45" s="30">
        <f t="shared" si="16"/>
        <v>3.206</v>
      </c>
      <c r="E45" s="30">
        <f t="shared" si="15"/>
        <v>3.206</v>
      </c>
      <c r="F45" s="30">
        <f t="shared" si="15"/>
        <v>3.206</v>
      </c>
      <c r="G45" s="30">
        <f t="shared" si="15"/>
        <v>3.206</v>
      </c>
      <c r="H45" s="30">
        <f t="shared" si="15"/>
        <v>3.206</v>
      </c>
      <c r="I45" s="30">
        <f t="shared" si="15"/>
        <v>3.206</v>
      </c>
      <c r="J45" s="30">
        <f t="shared" si="15"/>
        <v>3.206</v>
      </c>
    </row>
    <row r="46" spans="2:10" ht="18">
      <c r="B46" s="27" t="s">
        <v>47</v>
      </c>
      <c r="C46" s="28" t="s">
        <v>46</v>
      </c>
      <c r="D46" s="30">
        <f t="shared" si="16"/>
        <v>3.206</v>
      </c>
      <c r="E46" s="30">
        <f t="shared" si="15"/>
        <v>3.206</v>
      </c>
      <c r="F46" s="30">
        <f t="shared" si="15"/>
        <v>3.206</v>
      </c>
      <c r="G46" s="30">
        <f t="shared" si="15"/>
        <v>3.206</v>
      </c>
      <c r="H46" s="30">
        <f t="shared" si="15"/>
        <v>3.206</v>
      </c>
      <c r="I46" s="30">
        <f t="shared" si="15"/>
        <v>3.206</v>
      </c>
      <c r="J46" s="30">
        <f t="shared" si="15"/>
        <v>3.206</v>
      </c>
    </row>
    <row r="47" spans="2:10" ht="18">
      <c r="B47" s="27" t="s">
        <v>48</v>
      </c>
      <c r="C47" s="28"/>
      <c r="D47" s="30">
        <f t="shared" si="16"/>
        <v>1</v>
      </c>
      <c r="E47" s="30">
        <f t="shared" si="15"/>
        <v>1</v>
      </c>
      <c r="F47" s="30">
        <f t="shared" si="15"/>
        <v>1</v>
      </c>
      <c r="G47" s="30">
        <f t="shared" si="15"/>
        <v>1</v>
      </c>
      <c r="H47" s="30">
        <f t="shared" si="15"/>
        <v>1</v>
      </c>
      <c r="I47" s="30">
        <f t="shared" si="15"/>
        <v>1</v>
      </c>
      <c r="J47" s="30">
        <f t="shared" si="15"/>
        <v>1</v>
      </c>
    </row>
    <row r="48" spans="2:10" ht="18">
      <c r="B48" s="27" t="s">
        <v>49</v>
      </c>
      <c r="C48" s="28"/>
      <c r="D48" s="30">
        <f t="shared" si="16"/>
        <v>1</v>
      </c>
      <c r="E48" s="30">
        <f t="shared" si="15"/>
        <v>1</v>
      </c>
      <c r="F48" s="30">
        <f t="shared" si="15"/>
        <v>1</v>
      </c>
      <c r="G48" s="30">
        <f t="shared" si="15"/>
        <v>1</v>
      </c>
      <c r="H48" s="30">
        <f t="shared" si="15"/>
        <v>1</v>
      </c>
      <c r="I48" s="30">
        <f t="shared" si="15"/>
        <v>1</v>
      </c>
      <c r="J48" s="30">
        <f t="shared" si="15"/>
        <v>1</v>
      </c>
    </row>
    <row r="49" spans="2:10">
      <c r="B49" s="27" t="s">
        <v>50</v>
      </c>
      <c r="C49" s="28" t="s">
        <v>51</v>
      </c>
      <c r="D49" s="30">
        <f>(D45*D43*D41+D46*D44*D42)/(D47*D48*D33*D38)</f>
        <v>6.9331210822885234</v>
      </c>
      <c r="E49" s="30">
        <f>(E45*E43*E41+E46*E44*E42)/(E47*E48*E33*E38)</f>
        <v>5.5565285482382727</v>
      </c>
      <c r="F49" s="30">
        <f t="shared" ref="F49:J49" si="17">(F45*F43*F41+F46*F44*F42)/(F47*F48*F33*F38)</f>
        <v>5.4238345042787186</v>
      </c>
      <c r="G49" s="30">
        <f t="shared" si="17"/>
        <v>5.4062169268036282</v>
      </c>
      <c r="H49" s="30">
        <f t="shared" si="17"/>
        <v>5.4037911667655889</v>
      </c>
      <c r="I49" s="30">
        <f t="shared" si="17"/>
        <v>5.4034555158397097</v>
      </c>
      <c r="J49" s="30">
        <f t="shared" si="17"/>
        <v>5.4034090404499455</v>
      </c>
    </row>
    <row r="50" spans="2:10" ht="18">
      <c r="B50" s="27" t="s">
        <v>2</v>
      </c>
      <c r="C50" s="28" t="s">
        <v>51</v>
      </c>
      <c r="D50" s="30">
        <f>$C$4*(D32)^(-$C$5)</f>
        <v>7.7199170920501841</v>
      </c>
      <c r="E50" s="30">
        <f>D50</f>
        <v>7.7199170920501841</v>
      </c>
      <c r="F50" s="30">
        <f t="shared" ref="F50:J52" si="18">E50</f>
        <v>7.7199170920501841</v>
      </c>
      <c r="G50" s="30">
        <f t="shared" si="18"/>
        <v>7.7199170920501841</v>
      </c>
      <c r="H50" s="30">
        <f t="shared" si="18"/>
        <v>7.7199170920501841</v>
      </c>
      <c r="I50" s="30">
        <f t="shared" si="18"/>
        <v>7.7199170920501841</v>
      </c>
      <c r="J50" s="30">
        <f t="shared" si="18"/>
        <v>7.7199170920501841</v>
      </c>
    </row>
    <row r="51" spans="2:10">
      <c r="B51" s="27" t="s">
        <v>54</v>
      </c>
      <c r="C51" s="28"/>
      <c r="D51" s="30">
        <f>D25</f>
        <v>0.3</v>
      </c>
      <c r="E51" s="30">
        <f t="shared" ref="E51:E52" si="19">D51</f>
        <v>0.3</v>
      </c>
      <c r="F51" s="30">
        <f t="shared" si="18"/>
        <v>0.3</v>
      </c>
      <c r="G51" s="30">
        <f t="shared" si="18"/>
        <v>0.3</v>
      </c>
      <c r="H51" s="30">
        <f t="shared" si="18"/>
        <v>0.3</v>
      </c>
      <c r="I51" s="30">
        <f t="shared" si="18"/>
        <v>0.3</v>
      </c>
      <c r="J51" s="30">
        <f t="shared" si="18"/>
        <v>0.3</v>
      </c>
    </row>
    <row r="52" spans="2:10">
      <c r="B52" s="27" t="s">
        <v>55</v>
      </c>
      <c r="C52" s="28" t="s">
        <v>51</v>
      </c>
      <c r="D52" s="30">
        <f>D50*(1-D51)</f>
        <v>5.4039419644351288</v>
      </c>
      <c r="E52" s="30">
        <f t="shared" si="19"/>
        <v>5.4039419644351288</v>
      </c>
      <c r="F52" s="30">
        <f t="shared" si="18"/>
        <v>5.4039419644351288</v>
      </c>
      <c r="G52" s="30">
        <f t="shared" si="18"/>
        <v>5.4039419644351288</v>
      </c>
      <c r="H52" s="30">
        <f t="shared" si="18"/>
        <v>5.4039419644351288</v>
      </c>
      <c r="I52" s="30">
        <f t="shared" si="18"/>
        <v>5.4039419644351288</v>
      </c>
      <c r="J52" s="30">
        <f t="shared" si="18"/>
        <v>5.4039419644351288</v>
      </c>
    </row>
    <row r="53" spans="2:10">
      <c r="B53" s="11" t="s">
        <v>56</v>
      </c>
      <c r="C53" s="5"/>
      <c r="D53" s="30">
        <f>D49/D52</f>
        <v>1.28297474841835</v>
      </c>
      <c r="E53" s="30">
        <f>E49/E52</f>
        <v>1.0282361625656529</v>
      </c>
      <c r="F53" s="30">
        <f t="shared" ref="F53:J53" si="20">F49/F52</f>
        <v>1.0036811164839496</v>
      </c>
      <c r="G53" s="30">
        <f t="shared" si="20"/>
        <v>1.0004209820134027</v>
      </c>
      <c r="H53" s="30">
        <f t="shared" si="20"/>
        <v>0.99997209487619731</v>
      </c>
      <c r="I53" s="30">
        <f t="shared" si="20"/>
        <v>0.999909982638855</v>
      </c>
      <c r="J53" s="30">
        <f t="shared" si="20"/>
        <v>0.99990138236333947</v>
      </c>
    </row>
    <row r="54" spans="2:10">
      <c r="B54" s="11" t="s">
        <v>73</v>
      </c>
      <c r="C54" s="11"/>
      <c r="D54" s="32" t="str">
        <f t="shared" ref="D54:J54" si="21">IF(D49&lt;=D52,"Comply","Not Comply")</f>
        <v>Not Comply</v>
      </c>
      <c r="E54" s="32" t="str">
        <f t="shared" si="21"/>
        <v>Not Comply</v>
      </c>
      <c r="F54" s="32" t="str">
        <f t="shared" si="21"/>
        <v>Not Comply</v>
      </c>
      <c r="G54" s="32" t="str">
        <f t="shared" si="21"/>
        <v>Not Comply</v>
      </c>
      <c r="H54" s="32" t="str">
        <f t="shared" si="21"/>
        <v>Comply</v>
      </c>
      <c r="I54" s="32" t="str">
        <f t="shared" si="21"/>
        <v>Comply</v>
      </c>
      <c r="J54" s="32" t="str">
        <f t="shared" si="21"/>
        <v>Comply</v>
      </c>
    </row>
  </sheetData>
  <mergeCells count="3">
    <mergeCell ref="B2:E2"/>
    <mergeCell ref="B3:C3"/>
    <mergeCell ref="D3:E3"/>
  </mergeCells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54"/>
  <sheetViews>
    <sheetView topLeftCell="A34" workbookViewId="0">
      <selection activeCell="C21" sqref="C21"/>
    </sheetView>
  </sheetViews>
  <sheetFormatPr defaultColWidth="9" defaultRowHeight="15"/>
  <cols>
    <col min="1" max="1" width="9" style="1"/>
    <col min="2" max="2" width="16.28515625" style="1" customWidth="1"/>
    <col min="3" max="3" width="14.5703125" style="1" customWidth="1"/>
    <col min="4" max="10" width="12.5703125" style="1" customWidth="1"/>
    <col min="11" max="11" width="9" style="1"/>
    <col min="12" max="12" width="28" style="1" customWidth="1"/>
    <col min="13" max="13" width="36.140625" style="1" customWidth="1"/>
    <col min="14" max="14" width="15.42578125" style="1" customWidth="1"/>
    <col min="15" max="16384" width="9" style="1"/>
  </cols>
  <sheetData>
    <row r="2" spans="2:13" ht="18.75">
      <c r="B2" s="50" t="s">
        <v>0</v>
      </c>
      <c r="C2" s="51"/>
      <c r="D2" s="51"/>
      <c r="E2" s="51"/>
      <c r="H2" s="2"/>
      <c r="I2" s="2"/>
      <c r="J2" s="2"/>
      <c r="L2" s="3" t="s">
        <v>1</v>
      </c>
    </row>
    <row r="3" spans="2:13" ht="18">
      <c r="B3" s="52" t="s">
        <v>2</v>
      </c>
      <c r="C3" s="53"/>
      <c r="D3" s="52" t="s">
        <v>3</v>
      </c>
      <c r="E3" s="53"/>
      <c r="H3" s="2"/>
      <c r="I3" s="2"/>
      <c r="J3" s="2"/>
    </row>
    <row r="4" spans="2:13">
      <c r="B4" s="36" t="s">
        <v>7</v>
      </c>
      <c r="C4" s="6">
        <v>1218.8</v>
      </c>
      <c r="D4" s="36" t="s">
        <v>8</v>
      </c>
      <c r="E4" s="7">
        <v>8.1357999999999997</v>
      </c>
      <c r="H4" s="2"/>
      <c r="I4" s="2"/>
      <c r="J4" s="2"/>
      <c r="L4" s="37" t="s">
        <v>4</v>
      </c>
      <c r="M4" s="37" t="s">
        <v>6</v>
      </c>
    </row>
    <row r="5" spans="2:13">
      <c r="B5" s="36" t="s">
        <v>9</v>
      </c>
      <c r="C5" s="8">
        <v>0.48799999999999999</v>
      </c>
      <c r="D5" s="36" t="s">
        <v>10</v>
      </c>
      <c r="E5" s="9">
        <v>5.3830000000000003E-2</v>
      </c>
      <c r="L5" s="14" t="s">
        <v>116</v>
      </c>
      <c r="M5" s="44">
        <v>0.15</v>
      </c>
    </row>
    <row r="7" spans="2:13">
      <c r="B7" s="10" t="s">
        <v>0</v>
      </c>
      <c r="C7" s="10" t="s">
        <v>75</v>
      </c>
      <c r="D7" s="36" t="s">
        <v>14</v>
      </c>
      <c r="E7" s="36" t="s">
        <v>15</v>
      </c>
      <c r="F7" s="36" t="s">
        <v>15</v>
      </c>
      <c r="G7" s="36" t="s">
        <v>15</v>
      </c>
      <c r="H7" s="36" t="s">
        <v>15</v>
      </c>
      <c r="I7" s="36" t="s">
        <v>15</v>
      </c>
      <c r="J7" s="36" t="s">
        <v>15</v>
      </c>
    </row>
    <row r="8" spans="2:13">
      <c r="B8" s="11"/>
      <c r="C8" s="36" t="s">
        <v>17</v>
      </c>
      <c r="D8" s="12" t="s">
        <v>18</v>
      </c>
      <c r="E8" s="36" t="s">
        <v>19</v>
      </c>
      <c r="F8" s="36" t="s">
        <v>20</v>
      </c>
      <c r="G8" s="36" t="s">
        <v>21</v>
      </c>
      <c r="H8" s="36" t="s">
        <v>22</v>
      </c>
      <c r="I8" s="36" t="s">
        <v>23</v>
      </c>
      <c r="J8" s="36" t="s">
        <v>24</v>
      </c>
    </row>
    <row r="9" spans="2:13">
      <c r="B9" s="13" t="s">
        <v>26</v>
      </c>
      <c r="C9" s="14" t="s">
        <v>27</v>
      </c>
      <c r="D9" s="15">
        <v>300000</v>
      </c>
      <c r="E9" s="16">
        <f>D9</f>
        <v>300000</v>
      </c>
      <c r="F9" s="16">
        <f t="shared" ref="F9:J11" si="0">E9</f>
        <v>300000</v>
      </c>
      <c r="G9" s="16">
        <f t="shared" si="0"/>
        <v>300000</v>
      </c>
      <c r="H9" s="16">
        <f t="shared" si="0"/>
        <v>300000</v>
      </c>
      <c r="I9" s="16">
        <f t="shared" si="0"/>
        <v>300000</v>
      </c>
      <c r="J9" s="16">
        <f t="shared" si="0"/>
        <v>300000</v>
      </c>
    </row>
    <row r="10" spans="2:13">
      <c r="B10" s="11" t="s">
        <v>72</v>
      </c>
      <c r="C10" s="17" t="s">
        <v>30</v>
      </c>
      <c r="D10" s="18">
        <f>D9</f>
        <v>300000</v>
      </c>
      <c r="E10" s="18">
        <f>D10</f>
        <v>300000</v>
      </c>
      <c r="F10" s="18">
        <f t="shared" si="0"/>
        <v>300000</v>
      </c>
      <c r="G10" s="18">
        <f t="shared" si="0"/>
        <v>300000</v>
      </c>
      <c r="H10" s="18">
        <f t="shared" si="0"/>
        <v>300000</v>
      </c>
      <c r="I10" s="18">
        <f t="shared" si="0"/>
        <v>300000</v>
      </c>
      <c r="J10" s="18">
        <f t="shared" si="0"/>
        <v>300000</v>
      </c>
    </row>
    <row r="11" spans="2:13" ht="18">
      <c r="B11" s="11" t="s">
        <v>32</v>
      </c>
      <c r="C11" s="36" t="s">
        <v>33</v>
      </c>
      <c r="D11" s="19">
        <v>28830</v>
      </c>
      <c r="E11" s="20">
        <f>D11</f>
        <v>28830</v>
      </c>
      <c r="F11" s="20">
        <f t="shared" si="0"/>
        <v>28830</v>
      </c>
      <c r="G11" s="20">
        <f t="shared" si="0"/>
        <v>28830</v>
      </c>
      <c r="H11" s="20">
        <f t="shared" si="0"/>
        <v>28830</v>
      </c>
      <c r="I11" s="20">
        <f t="shared" si="0"/>
        <v>28830</v>
      </c>
      <c r="J11" s="20">
        <f t="shared" si="0"/>
        <v>28830</v>
      </c>
    </row>
    <row r="12" spans="2:13" ht="18">
      <c r="B12" s="11" t="s">
        <v>34</v>
      </c>
      <c r="C12" s="36" t="s">
        <v>33</v>
      </c>
      <c r="D12" s="21" t="s">
        <v>35</v>
      </c>
      <c r="E12" s="18">
        <f>E15/0.75</f>
        <v>20971.447356416895</v>
      </c>
      <c r="F12" s="18">
        <f t="shared" ref="F12:J12" si="1">F15/0.75</f>
        <v>20398.141214448882</v>
      </c>
      <c r="G12" s="18">
        <f t="shared" si="1"/>
        <v>20340.514794423827</v>
      </c>
      <c r="H12" s="18">
        <f t="shared" si="1"/>
        <v>20334.558266325814</v>
      </c>
      <c r="I12" s="18">
        <f t="shared" si="1"/>
        <v>20333.940813742127</v>
      </c>
      <c r="J12" s="18">
        <f t="shared" si="1"/>
        <v>20333.876789818514</v>
      </c>
    </row>
    <row r="13" spans="2:13" ht="18">
      <c r="B13" s="11" t="s">
        <v>36</v>
      </c>
      <c r="C13" s="36" t="s">
        <v>37</v>
      </c>
      <c r="D13" s="21" t="s">
        <v>35</v>
      </c>
      <c r="E13" s="18">
        <f>E15*1.15</f>
        <v>18087.873344909571</v>
      </c>
      <c r="F13" s="18">
        <f t="shared" ref="F13:J13" si="2">F15*1.15</f>
        <v>17593.396797462159</v>
      </c>
      <c r="G13" s="18">
        <f t="shared" si="2"/>
        <v>17543.694010190549</v>
      </c>
      <c r="H13" s="18">
        <f t="shared" si="2"/>
        <v>17538.556504706015</v>
      </c>
      <c r="I13" s="18">
        <f t="shared" si="2"/>
        <v>17538.023951852581</v>
      </c>
      <c r="J13" s="18">
        <f t="shared" si="2"/>
        <v>17537.968731218465</v>
      </c>
    </row>
    <row r="14" spans="2:13" ht="18">
      <c r="B14" s="22" t="s">
        <v>38</v>
      </c>
      <c r="C14" s="23" t="s">
        <v>39</v>
      </c>
      <c r="D14" s="24">
        <v>15.8</v>
      </c>
      <c r="E14" s="6">
        <f>D14*(E15/D15)^(1/3)</f>
        <v>14.209703227192579</v>
      </c>
      <c r="F14" s="6">
        <f t="shared" ref="F14:J14" si="3">E14*(F15/E15)^(1/3)</f>
        <v>14.07901929653703</v>
      </c>
      <c r="G14" s="6">
        <f t="shared" si="3"/>
        <v>14.065748664165842</v>
      </c>
      <c r="H14" s="6">
        <f t="shared" si="3"/>
        <v>14.06437552279959</v>
      </c>
      <c r="I14" s="6">
        <f t="shared" si="3"/>
        <v>14.064233167885217</v>
      </c>
      <c r="J14" s="6">
        <f t="shared" si="3"/>
        <v>14.064218406878101</v>
      </c>
    </row>
    <row r="15" spans="2:13" ht="18" customHeight="1">
      <c r="B15" s="11" t="s">
        <v>40</v>
      </c>
      <c r="C15" s="36" t="s">
        <v>33</v>
      </c>
      <c r="D15" s="18">
        <f>0.75*D11</f>
        <v>21622.5</v>
      </c>
      <c r="E15" s="18">
        <f>(0.9999*1/D27)^(3/2)*D15</f>
        <v>15728.585517312671</v>
      </c>
      <c r="F15" s="18">
        <f t="shared" ref="F15:J15" si="4">(0.9999*1/E27)^(3/2)*E15</f>
        <v>15298.605910836663</v>
      </c>
      <c r="G15" s="18">
        <f t="shared" si="4"/>
        <v>15255.38609581787</v>
      </c>
      <c r="H15" s="18">
        <f t="shared" si="4"/>
        <v>15250.918699744361</v>
      </c>
      <c r="I15" s="18">
        <f t="shared" si="4"/>
        <v>15250.455610306595</v>
      </c>
      <c r="J15" s="18">
        <f t="shared" si="4"/>
        <v>15250.407592363885</v>
      </c>
    </row>
    <row r="16" spans="2:13" ht="18">
      <c r="B16" s="11" t="s">
        <v>41</v>
      </c>
      <c r="C16" s="36" t="s">
        <v>33</v>
      </c>
      <c r="D16" s="18">
        <f>IF(D11&gt;=10000,0.025*D11+250,0.05*D11)</f>
        <v>970.75</v>
      </c>
      <c r="E16" s="18">
        <f t="shared" ref="E16:J22" si="5">D16</f>
        <v>970.75</v>
      </c>
      <c r="F16" s="18">
        <f t="shared" si="5"/>
        <v>970.75</v>
      </c>
      <c r="G16" s="18">
        <f t="shared" si="5"/>
        <v>970.75</v>
      </c>
      <c r="H16" s="18">
        <f t="shared" si="5"/>
        <v>970.75</v>
      </c>
      <c r="I16" s="18">
        <f t="shared" si="5"/>
        <v>970.75</v>
      </c>
      <c r="J16" s="18">
        <f t="shared" si="5"/>
        <v>970.75</v>
      </c>
    </row>
    <row r="17" spans="2:10" ht="18">
      <c r="B17" s="22" t="s">
        <v>42</v>
      </c>
      <c r="C17" s="23" t="s">
        <v>43</v>
      </c>
      <c r="D17" s="25">
        <v>180</v>
      </c>
      <c r="E17" s="26">
        <f t="shared" si="5"/>
        <v>180</v>
      </c>
      <c r="F17" s="26">
        <f t="shared" si="5"/>
        <v>180</v>
      </c>
      <c r="G17" s="26">
        <f t="shared" si="5"/>
        <v>180</v>
      </c>
      <c r="H17" s="26">
        <f t="shared" si="5"/>
        <v>180</v>
      </c>
      <c r="I17" s="26">
        <f t="shared" si="5"/>
        <v>180</v>
      </c>
      <c r="J17" s="26">
        <f t="shared" si="5"/>
        <v>180</v>
      </c>
    </row>
    <row r="18" spans="2:10" ht="18">
      <c r="B18" s="22" t="s">
        <v>44</v>
      </c>
      <c r="C18" s="23" t="s">
        <v>43</v>
      </c>
      <c r="D18" s="25">
        <v>210</v>
      </c>
      <c r="E18" s="26">
        <f t="shared" si="5"/>
        <v>210</v>
      </c>
      <c r="F18" s="26">
        <f t="shared" si="5"/>
        <v>210</v>
      </c>
      <c r="G18" s="26">
        <f t="shared" si="5"/>
        <v>210</v>
      </c>
      <c r="H18" s="26">
        <f t="shared" si="5"/>
        <v>210</v>
      </c>
      <c r="I18" s="26">
        <f t="shared" si="5"/>
        <v>210</v>
      </c>
      <c r="J18" s="26">
        <f t="shared" si="5"/>
        <v>210</v>
      </c>
    </row>
    <row r="19" spans="2:10" ht="18">
      <c r="B19" s="27" t="s">
        <v>45</v>
      </c>
      <c r="C19" s="28" t="s">
        <v>46</v>
      </c>
      <c r="D19" s="29">
        <v>3.206</v>
      </c>
      <c r="E19" s="8">
        <f t="shared" si="5"/>
        <v>3.206</v>
      </c>
      <c r="F19" s="8">
        <f t="shared" si="5"/>
        <v>3.206</v>
      </c>
      <c r="G19" s="8">
        <f t="shared" si="5"/>
        <v>3.206</v>
      </c>
      <c r="H19" s="8">
        <f t="shared" si="5"/>
        <v>3.206</v>
      </c>
      <c r="I19" s="8">
        <f t="shared" si="5"/>
        <v>3.206</v>
      </c>
      <c r="J19" s="8">
        <f t="shared" si="5"/>
        <v>3.206</v>
      </c>
    </row>
    <row r="20" spans="2:10" ht="18">
      <c r="B20" s="27" t="s">
        <v>47</v>
      </c>
      <c r="C20" s="28" t="s">
        <v>46</v>
      </c>
      <c r="D20" s="29">
        <v>3.206</v>
      </c>
      <c r="E20" s="8">
        <f t="shared" si="5"/>
        <v>3.206</v>
      </c>
      <c r="F20" s="8">
        <f t="shared" si="5"/>
        <v>3.206</v>
      </c>
      <c r="G20" s="8">
        <f t="shared" si="5"/>
        <v>3.206</v>
      </c>
      <c r="H20" s="8">
        <f t="shared" si="5"/>
        <v>3.206</v>
      </c>
      <c r="I20" s="8">
        <f t="shared" si="5"/>
        <v>3.206</v>
      </c>
      <c r="J20" s="8">
        <f t="shared" si="5"/>
        <v>3.206</v>
      </c>
    </row>
    <row r="21" spans="2:10" ht="18">
      <c r="B21" s="27" t="s">
        <v>48</v>
      </c>
      <c r="C21" s="28"/>
      <c r="D21" s="29">
        <v>1.0184</v>
      </c>
      <c r="E21" s="8">
        <f t="shared" si="5"/>
        <v>1.0184</v>
      </c>
      <c r="F21" s="8">
        <f t="shared" si="5"/>
        <v>1.0184</v>
      </c>
      <c r="G21" s="8">
        <f t="shared" si="5"/>
        <v>1.0184</v>
      </c>
      <c r="H21" s="8">
        <f t="shared" si="5"/>
        <v>1.0184</v>
      </c>
      <c r="I21" s="8">
        <f t="shared" si="5"/>
        <v>1.0184</v>
      </c>
      <c r="J21" s="8">
        <f t="shared" si="5"/>
        <v>1.0184</v>
      </c>
    </row>
    <row r="22" spans="2:10" ht="18">
      <c r="B22" s="27" t="s">
        <v>49</v>
      </c>
      <c r="C22" s="28"/>
      <c r="D22" s="29">
        <v>1</v>
      </c>
      <c r="E22" s="8">
        <f t="shared" si="5"/>
        <v>1</v>
      </c>
      <c r="F22" s="8">
        <f t="shared" si="5"/>
        <v>1</v>
      </c>
      <c r="G22" s="8">
        <f t="shared" si="5"/>
        <v>1</v>
      </c>
      <c r="H22" s="8">
        <f t="shared" si="5"/>
        <v>1</v>
      </c>
      <c r="I22" s="8">
        <f t="shared" si="5"/>
        <v>1</v>
      </c>
      <c r="J22" s="8">
        <f t="shared" si="5"/>
        <v>1</v>
      </c>
    </row>
    <row r="23" spans="2:10">
      <c r="B23" s="27" t="s">
        <v>50</v>
      </c>
      <c r="C23" s="28" t="s">
        <v>51</v>
      </c>
      <c r="D23" s="30">
        <f>(D19*D17*D15+D20*D18*D16)/(D21*D22*D10*D14)</f>
        <v>2.7203007789583062</v>
      </c>
      <c r="E23" s="30">
        <f>(E19*E17*E15+E20*E18*E16)/(E21*E22*E10*E14)</f>
        <v>2.2412895919678277</v>
      </c>
      <c r="F23" s="30">
        <f>(F19*F17*F15+F20*F18*F16)/(F21*F22*F10*F14)</f>
        <v>2.2044074489975909</v>
      </c>
      <c r="G23" s="30">
        <f t="shared" ref="G23:J23" si="6">(G19*G17*G15+G20*G18*G16)/(G21*G22*G10*G14)</f>
        <v>2.2006833911751107</v>
      </c>
      <c r="H23" s="30">
        <f t="shared" si="6"/>
        <v>2.2002982784173715</v>
      </c>
      <c r="I23" s="30">
        <f t="shared" si="6"/>
        <v>2.2002583557991993</v>
      </c>
      <c r="J23" s="30">
        <f t="shared" si="6"/>
        <v>2.2002542161853258</v>
      </c>
    </row>
    <row r="24" spans="2:10" ht="18">
      <c r="B24" s="27" t="s">
        <v>2</v>
      </c>
      <c r="C24" s="28" t="s">
        <v>51</v>
      </c>
      <c r="D24" s="30">
        <f>$C$4*D9^(-$C$5)</f>
        <v>2.5887926878256677</v>
      </c>
      <c r="E24" s="30">
        <f t="shared" ref="E24:J26" si="7">D24</f>
        <v>2.5887926878256677</v>
      </c>
      <c r="F24" s="30">
        <f t="shared" si="7"/>
        <v>2.5887926878256677</v>
      </c>
      <c r="G24" s="30">
        <f t="shared" si="7"/>
        <v>2.5887926878256677</v>
      </c>
      <c r="H24" s="30">
        <f t="shared" si="7"/>
        <v>2.5887926878256677</v>
      </c>
      <c r="I24" s="30">
        <f t="shared" si="7"/>
        <v>2.5887926878256677</v>
      </c>
      <c r="J24" s="30">
        <f t="shared" si="7"/>
        <v>2.5887926878256677</v>
      </c>
    </row>
    <row r="25" spans="2:10">
      <c r="B25" s="27" t="s">
        <v>54</v>
      </c>
      <c r="C25" s="28"/>
      <c r="D25" s="31">
        <v>0.15</v>
      </c>
      <c r="E25" s="30">
        <f t="shared" si="7"/>
        <v>0.15</v>
      </c>
      <c r="F25" s="30">
        <f t="shared" si="7"/>
        <v>0.15</v>
      </c>
      <c r="G25" s="30">
        <f t="shared" si="7"/>
        <v>0.15</v>
      </c>
      <c r="H25" s="30">
        <f t="shared" si="7"/>
        <v>0.15</v>
      </c>
      <c r="I25" s="30">
        <f t="shared" si="7"/>
        <v>0.15</v>
      </c>
      <c r="J25" s="30">
        <f t="shared" si="7"/>
        <v>0.15</v>
      </c>
    </row>
    <row r="26" spans="2:10">
      <c r="B26" s="27" t="s">
        <v>55</v>
      </c>
      <c r="C26" s="28" t="s">
        <v>51</v>
      </c>
      <c r="D26" s="30">
        <f>D24*(1-D25)</f>
        <v>2.2004737846518174</v>
      </c>
      <c r="E26" s="30">
        <f t="shared" si="7"/>
        <v>2.2004737846518174</v>
      </c>
      <c r="F26" s="30">
        <f t="shared" si="7"/>
        <v>2.2004737846518174</v>
      </c>
      <c r="G26" s="30">
        <f t="shared" si="7"/>
        <v>2.2004737846518174</v>
      </c>
      <c r="H26" s="30">
        <f t="shared" si="7"/>
        <v>2.2004737846518174</v>
      </c>
      <c r="I26" s="30">
        <f t="shared" si="7"/>
        <v>2.2004737846518174</v>
      </c>
      <c r="J26" s="30">
        <f t="shared" si="7"/>
        <v>2.2004737846518174</v>
      </c>
    </row>
    <row r="27" spans="2:10">
      <c r="B27" s="11" t="s">
        <v>56</v>
      </c>
      <c r="C27" s="36"/>
      <c r="D27" s="30">
        <f>D23/D26</f>
        <v>1.2362341228203912</v>
      </c>
      <c r="E27" s="30">
        <f>E23/E26</f>
        <v>1.0185486451148378</v>
      </c>
      <c r="F27" s="30">
        <f t="shared" ref="F27:J27" si="8">F23/F26</f>
        <v>1.0017876442669804</v>
      </c>
      <c r="G27" s="30">
        <f t="shared" si="8"/>
        <v>1.0000952551785689</v>
      </c>
      <c r="H27" s="30">
        <f t="shared" si="8"/>
        <v>0.99992024161538751</v>
      </c>
      <c r="I27" s="30">
        <f t="shared" si="8"/>
        <v>0.99990209887792314</v>
      </c>
      <c r="J27" s="30">
        <f t="shared" si="8"/>
        <v>0.99990021764039039</v>
      </c>
    </row>
    <row r="28" spans="2:10">
      <c r="B28" s="11" t="s">
        <v>57</v>
      </c>
      <c r="C28" s="36"/>
      <c r="D28" s="32" t="str">
        <f>IF(D23&lt;=D26,"Comply","Not Comply")</f>
        <v>Not Comply</v>
      </c>
      <c r="E28" s="32" t="str">
        <f t="shared" ref="E28:J28" si="9">IF(E23&lt;=E26,"Comply","Not Comply")</f>
        <v>Not Comply</v>
      </c>
      <c r="F28" s="32" t="str">
        <f t="shared" si="9"/>
        <v>Not Comply</v>
      </c>
      <c r="G28" s="32" t="str">
        <f t="shared" si="9"/>
        <v>Not Comply</v>
      </c>
      <c r="H28" s="32" t="str">
        <f t="shared" si="9"/>
        <v>Comply</v>
      </c>
      <c r="I28" s="32" t="str">
        <f t="shared" si="9"/>
        <v>Comply</v>
      </c>
      <c r="J28" s="32" t="str">
        <f t="shared" si="9"/>
        <v>Comply</v>
      </c>
    </row>
    <row r="29" spans="2:10">
      <c r="B29" s="2"/>
      <c r="C29" s="2"/>
      <c r="D29" s="2"/>
      <c r="E29" s="2"/>
      <c r="F29" s="2"/>
      <c r="G29" s="2"/>
      <c r="H29" s="2"/>
      <c r="I29" s="2"/>
      <c r="J29" s="2"/>
    </row>
    <row r="30" spans="2:10">
      <c r="B30" s="10" t="str">
        <f>B7</f>
        <v>Tanker</v>
      </c>
      <c r="C30" s="10" t="str">
        <f>C7</f>
        <v>MR</v>
      </c>
      <c r="D30" s="36" t="s">
        <v>14</v>
      </c>
      <c r="E30" s="36" t="s">
        <v>15</v>
      </c>
      <c r="F30" s="36" t="s">
        <v>15</v>
      </c>
      <c r="G30" s="36" t="s">
        <v>15</v>
      </c>
      <c r="H30" s="36" t="s">
        <v>15</v>
      </c>
      <c r="I30" s="36" t="s">
        <v>15</v>
      </c>
      <c r="J30" s="36" t="s">
        <v>15</v>
      </c>
    </row>
    <row r="31" spans="2:10">
      <c r="B31" s="11"/>
      <c r="C31" s="36" t="s">
        <v>17</v>
      </c>
      <c r="D31" s="12" t="s">
        <v>58</v>
      </c>
      <c r="E31" s="36" t="s">
        <v>19</v>
      </c>
      <c r="F31" s="36" t="s">
        <v>20</v>
      </c>
      <c r="G31" s="36" t="s">
        <v>21</v>
      </c>
      <c r="H31" s="36" t="s">
        <v>22</v>
      </c>
      <c r="I31" s="36" t="s">
        <v>23</v>
      </c>
      <c r="J31" s="36" t="s">
        <v>24</v>
      </c>
    </row>
    <row r="32" spans="2:10">
      <c r="B32" s="13" t="s">
        <v>26</v>
      </c>
      <c r="C32" s="14" t="s">
        <v>27</v>
      </c>
      <c r="D32" s="16">
        <f>D9</f>
        <v>300000</v>
      </c>
      <c r="E32" s="16">
        <f>D32</f>
        <v>300000</v>
      </c>
      <c r="F32" s="16">
        <f t="shared" ref="F32:J34" si="10">E32</f>
        <v>300000</v>
      </c>
      <c r="G32" s="16">
        <f t="shared" si="10"/>
        <v>300000</v>
      </c>
      <c r="H32" s="16">
        <f t="shared" si="10"/>
        <v>300000</v>
      </c>
      <c r="I32" s="16">
        <f t="shared" si="10"/>
        <v>300000</v>
      </c>
      <c r="J32" s="16">
        <f t="shared" si="10"/>
        <v>300000</v>
      </c>
    </row>
    <row r="33" spans="2:10">
      <c r="B33" s="11" t="s">
        <v>61</v>
      </c>
      <c r="C33" s="17" t="s">
        <v>30</v>
      </c>
      <c r="D33" s="18">
        <f>D10</f>
        <v>300000</v>
      </c>
      <c r="E33" s="18">
        <f>D33</f>
        <v>300000</v>
      </c>
      <c r="F33" s="18">
        <f t="shared" si="10"/>
        <v>300000</v>
      </c>
      <c r="G33" s="18">
        <f t="shared" si="10"/>
        <v>300000</v>
      </c>
      <c r="H33" s="18">
        <f t="shared" si="10"/>
        <v>300000</v>
      </c>
      <c r="I33" s="18">
        <f t="shared" si="10"/>
        <v>300000</v>
      </c>
      <c r="J33" s="18">
        <f t="shared" si="10"/>
        <v>300000</v>
      </c>
    </row>
    <row r="34" spans="2:10" ht="18">
      <c r="B34" s="11" t="s">
        <v>32</v>
      </c>
      <c r="C34" s="36" t="s">
        <v>33</v>
      </c>
      <c r="D34" s="18">
        <f>D11</f>
        <v>28830</v>
      </c>
      <c r="E34" s="20">
        <f>D34</f>
        <v>28830</v>
      </c>
      <c r="F34" s="20">
        <f t="shared" si="10"/>
        <v>28830</v>
      </c>
      <c r="G34" s="20">
        <f t="shared" si="10"/>
        <v>28830</v>
      </c>
      <c r="H34" s="20">
        <f t="shared" si="10"/>
        <v>28830</v>
      </c>
      <c r="I34" s="20">
        <f t="shared" si="10"/>
        <v>28830</v>
      </c>
      <c r="J34" s="20">
        <f t="shared" si="10"/>
        <v>28830</v>
      </c>
    </row>
    <row r="35" spans="2:10" ht="18">
      <c r="B35" s="11" t="s">
        <v>34</v>
      </c>
      <c r="C35" s="36" t="s">
        <v>33</v>
      </c>
      <c r="D35" s="21" t="s">
        <v>35</v>
      </c>
      <c r="E35" s="18">
        <f>E41/0.75</f>
        <v>20646.530933264181</v>
      </c>
      <c r="F35" s="18">
        <f t="shared" ref="F35:J35" si="11">F41/0.75</f>
        <v>20050.307762207292</v>
      </c>
      <c r="G35" s="18">
        <f t="shared" si="11"/>
        <v>19989.509497105602</v>
      </c>
      <c r="H35" s="18">
        <f t="shared" si="11"/>
        <v>19983.123868346571</v>
      </c>
      <c r="I35" s="18">
        <f t="shared" si="11"/>
        <v>19982.451130295351</v>
      </c>
      <c r="J35" s="18">
        <f t="shared" si="11"/>
        <v>19982.380233234842</v>
      </c>
    </row>
    <row r="36" spans="2:10" ht="18">
      <c r="B36" s="11" t="s">
        <v>36</v>
      </c>
      <c r="C36" s="36" t="s">
        <v>37</v>
      </c>
      <c r="D36" s="21" t="s">
        <v>35</v>
      </c>
      <c r="E36" s="18">
        <f>E41*1.15</f>
        <v>17807.632929940355</v>
      </c>
      <c r="F36" s="18">
        <f t="shared" ref="F36:J36" si="12">F41*1.15</f>
        <v>17293.390444903791</v>
      </c>
      <c r="G36" s="18">
        <f t="shared" si="12"/>
        <v>17240.951941253581</v>
      </c>
      <c r="H36" s="18">
        <f t="shared" si="12"/>
        <v>17235.444336448916</v>
      </c>
      <c r="I36" s="18">
        <f t="shared" si="12"/>
        <v>17234.864099879738</v>
      </c>
      <c r="J36" s="18">
        <f t="shared" si="12"/>
        <v>17234.802951165049</v>
      </c>
    </row>
    <row r="37" spans="2:10" ht="18">
      <c r="B37" s="11" t="s">
        <v>62</v>
      </c>
      <c r="C37" s="36" t="s">
        <v>33</v>
      </c>
      <c r="D37" s="20">
        <f>IF(D34&gt;=10000,((D33*D50*D39/3.1144-215*250)/(190*0.75+215*0.025)),((D33*D50*D39)/(3.1144*(190*0.75+215*0.05))))</f>
        <v>26687.502148131207</v>
      </c>
      <c r="E37" s="21" t="s">
        <v>35</v>
      </c>
      <c r="F37" s="21" t="s">
        <v>35</v>
      </c>
      <c r="G37" s="21" t="s">
        <v>35</v>
      </c>
      <c r="H37" s="21" t="s">
        <v>35</v>
      </c>
      <c r="I37" s="21" t="s">
        <v>35</v>
      </c>
      <c r="J37" s="21" t="s">
        <v>35</v>
      </c>
    </row>
    <row r="38" spans="2:10" ht="18">
      <c r="B38" s="22" t="s">
        <v>63</v>
      </c>
      <c r="C38" s="23" t="s">
        <v>39</v>
      </c>
      <c r="D38" s="33">
        <f>(D39-D40)*(D34/D37)^(1/3)</f>
        <v>15.636379824262765</v>
      </c>
      <c r="E38" s="33">
        <f>D38*(E41/D41)^(1/3)</f>
        <v>13.989548372442975</v>
      </c>
      <c r="F38" s="33">
        <f t="shared" ref="F38:J38" si="13">E38*(F41/E41)^(1/3)</f>
        <v>13.853569197083711</v>
      </c>
      <c r="G38" s="33">
        <f t="shared" si="13"/>
        <v>13.839552359084678</v>
      </c>
      <c r="H38" s="33">
        <f t="shared" si="13"/>
        <v>13.838078525095337</v>
      </c>
      <c r="I38" s="33">
        <f t="shared" si="13"/>
        <v>13.837923235620231</v>
      </c>
      <c r="J38" s="33">
        <f t="shared" si="13"/>
        <v>13.837906870106398</v>
      </c>
    </row>
    <row r="39" spans="2:10" ht="18">
      <c r="B39" s="22" t="s">
        <v>64</v>
      </c>
      <c r="C39" s="23" t="s">
        <v>39</v>
      </c>
      <c r="D39" s="34">
        <f>E4*D32^E5</f>
        <v>16.041083557522484</v>
      </c>
      <c r="E39" s="35" t="s">
        <v>35</v>
      </c>
      <c r="F39" s="35" t="s">
        <v>35</v>
      </c>
      <c r="G39" s="35" t="s">
        <v>35</v>
      </c>
      <c r="H39" s="35" t="s">
        <v>35</v>
      </c>
      <c r="I39" s="35" t="s">
        <v>35</v>
      </c>
      <c r="J39" s="35" t="s">
        <v>35</v>
      </c>
    </row>
    <row r="40" spans="2:10">
      <c r="B40" s="22" t="s">
        <v>65</v>
      </c>
      <c r="C40" s="23" t="s">
        <v>39</v>
      </c>
      <c r="D40" s="33">
        <f>MIN(1,D39*0.05)</f>
        <v>0.80205417787612421</v>
      </c>
      <c r="E40" s="35" t="s">
        <v>35</v>
      </c>
      <c r="F40" s="35" t="s">
        <v>35</v>
      </c>
      <c r="G40" s="35" t="s">
        <v>35</v>
      </c>
      <c r="H40" s="35" t="s">
        <v>35</v>
      </c>
      <c r="I40" s="35" t="s">
        <v>35</v>
      </c>
      <c r="J40" s="35" t="s">
        <v>35</v>
      </c>
    </row>
    <row r="41" spans="2:10" ht="18">
      <c r="B41" s="11" t="s">
        <v>40</v>
      </c>
      <c r="C41" s="36" t="s">
        <v>33</v>
      </c>
      <c r="D41" s="18">
        <f>0.75*D34</f>
        <v>21622.5</v>
      </c>
      <c r="E41" s="18">
        <f>(0.9999*1/D53)^(3/2)*D41</f>
        <v>15484.898199948135</v>
      </c>
      <c r="F41" s="18">
        <f t="shared" ref="F41:J41" si="14">(0.9999*1/E53)^(3/2)*E41</f>
        <v>15037.73082165547</v>
      </c>
      <c r="G41" s="18">
        <f t="shared" si="14"/>
        <v>14992.132122829202</v>
      </c>
      <c r="H41" s="18">
        <f t="shared" si="14"/>
        <v>14987.342901259928</v>
      </c>
      <c r="I41" s="18">
        <f t="shared" si="14"/>
        <v>14986.838347721514</v>
      </c>
      <c r="J41" s="18">
        <f t="shared" si="14"/>
        <v>14986.785174926132</v>
      </c>
    </row>
    <row r="42" spans="2:10" ht="18">
      <c r="B42" s="11" t="s">
        <v>41</v>
      </c>
      <c r="C42" s="36" t="s">
        <v>33</v>
      </c>
      <c r="D42" s="18">
        <f>IF(D34&gt;=10000,0.025*D34+250,0.05*D34)</f>
        <v>970.75</v>
      </c>
      <c r="E42" s="18">
        <f t="shared" ref="E42:J48" si="15">D42</f>
        <v>970.75</v>
      </c>
      <c r="F42" s="18">
        <f t="shared" si="15"/>
        <v>970.75</v>
      </c>
      <c r="G42" s="18">
        <f t="shared" si="15"/>
        <v>970.75</v>
      </c>
      <c r="H42" s="18">
        <f t="shared" si="15"/>
        <v>970.75</v>
      </c>
      <c r="I42" s="18">
        <f t="shared" si="15"/>
        <v>970.75</v>
      </c>
      <c r="J42" s="18">
        <f t="shared" si="15"/>
        <v>970.75</v>
      </c>
    </row>
    <row r="43" spans="2:10" ht="18">
      <c r="B43" s="22" t="s">
        <v>42</v>
      </c>
      <c r="C43" s="23" t="s">
        <v>43</v>
      </c>
      <c r="D43" s="26">
        <f t="shared" ref="D43:D48" si="16">D17</f>
        <v>180</v>
      </c>
      <c r="E43" s="26">
        <f t="shared" si="15"/>
        <v>180</v>
      </c>
      <c r="F43" s="26">
        <f t="shared" si="15"/>
        <v>180</v>
      </c>
      <c r="G43" s="26">
        <f t="shared" si="15"/>
        <v>180</v>
      </c>
      <c r="H43" s="26">
        <f t="shared" si="15"/>
        <v>180</v>
      </c>
      <c r="I43" s="26">
        <f t="shared" si="15"/>
        <v>180</v>
      </c>
      <c r="J43" s="26">
        <f t="shared" si="15"/>
        <v>180</v>
      </c>
    </row>
    <row r="44" spans="2:10" ht="18">
      <c r="B44" s="22" t="s">
        <v>44</v>
      </c>
      <c r="C44" s="23" t="s">
        <v>43</v>
      </c>
      <c r="D44" s="26">
        <f t="shared" si="16"/>
        <v>210</v>
      </c>
      <c r="E44" s="26">
        <f t="shared" si="15"/>
        <v>210</v>
      </c>
      <c r="F44" s="26">
        <f t="shared" si="15"/>
        <v>210</v>
      </c>
      <c r="G44" s="26">
        <f t="shared" si="15"/>
        <v>210</v>
      </c>
      <c r="H44" s="26">
        <f t="shared" si="15"/>
        <v>210</v>
      </c>
      <c r="I44" s="26">
        <f t="shared" si="15"/>
        <v>210</v>
      </c>
      <c r="J44" s="26">
        <f t="shared" si="15"/>
        <v>210</v>
      </c>
    </row>
    <row r="45" spans="2:10" ht="18">
      <c r="B45" s="27" t="s">
        <v>45</v>
      </c>
      <c r="C45" s="28" t="s">
        <v>46</v>
      </c>
      <c r="D45" s="30">
        <f t="shared" si="16"/>
        <v>3.206</v>
      </c>
      <c r="E45" s="30">
        <f t="shared" si="15"/>
        <v>3.206</v>
      </c>
      <c r="F45" s="30">
        <f t="shared" si="15"/>
        <v>3.206</v>
      </c>
      <c r="G45" s="30">
        <f t="shared" si="15"/>
        <v>3.206</v>
      </c>
      <c r="H45" s="30">
        <f t="shared" si="15"/>
        <v>3.206</v>
      </c>
      <c r="I45" s="30">
        <f t="shared" si="15"/>
        <v>3.206</v>
      </c>
      <c r="J45" s="30">
        <f t="shared" si="15"/>
        <v>3.206</v>
      </c>
    </row>
    <row r="46" spans="2:10" ht="18">
      <c r="B46" s="27" t="s">
        <v>47</v>
      </c>
      <c r="C46" s="28" t="s">
        <v>46</v>
      </c>
      <c r="D46" s="30">
        <f t="shared" si="16"/>
        <v>3.206</v>
      </c>
      <c r="E46" s="30">
        <f t="shared" si="15"/>
        <v>3.206</v>
      </c>
      <c r="F46" s="30">
        <f t="shared" si="15"/>
        <v>3.206</v>
      </c>
      <c r="G46" s="30">
        <f t="shared" si="15"/>
        <v>3.206</v>
      </c>
      <c r="H46" s="30">
        <f t="shared" si="15"/>
        <v>3.206</v>
      </c>
      <c r="I46" s="30">
        <f t="shared" si="15"/>
        <v>3.206</v>
      </c>
      <c r="J46" s="30">
        <f t="shared" si="15"/>
        <v>3.206</v>
      </c>
    </row>
    <row r="47" spans="2:10" ht="18">
      <c r="B47" s="27" t="s">
        <v>48</v>
      </c>
      <c r="C47" s="28"/>
      <c r="D47" s="30">
        <f t="shared" si="16"/>
        <v>1.0184</v>
      </c>
      <c r="E47" s="30">
        <f t="shared" si="15"/>
        <v>1.0184</v>
      </c>
      <c r="F47" s="30">
        <f t="shared" si="15"/>
        <v>1.0184</v>
      </c>
      <c r="G47" s="30">
        <f t="shared" si="15"/>
        <v>1.0184</v>
      </c>
      <c r="H47" s="30">
        <f t="shared" si="15"/>
        <v>1.0184</v>
      </c>
      <c r="I47" s="30">
        <f t="shared" si="15"/>
        <v>1.0184</v>
      </c>
      <c r="J47" s="30">
        <f t="shared" si="15"/>
        <v>1.0184</v>
      </c>
    </row>
    <row r="48" spans="2:10" ht="18">
      <c r="B48" s="27" t="s">
        <v>49</v>
      </c>
      <c r="C48" s="28"/>
      <c r="D48" s="30">
        <f t="shared" si="16"/>
        <v>1</v>
      </c>
      <c r="E48" s="30">
        <f t="shared" si="15"/>
        <v>1</v>
      </c>
      <c r="F48" s="30">
        <f t="shared" si="15"/>
        <v>1</v>
      </c>
      <c r="G48" s="30">
        <f t="shared" si="15"/>
        <v>1</v>
      </c>
      <c r="H48" s="30">
        <f t="shared" si="15"/>
        <v>1</v>
      </c>
      <c r="I48" s="30">
        <f t="shared" si="15"/>
        <v>1</v>
      </c>
      <c r="J48" s="30">
        <f t="shared" si="15"/>
        <v>1</v>
      </c>
    </row>
    <row r="49" spans="2:10">
      <c r="B49" s="27" t="s">
        <v>50</v>
      </c>
      <c r="C49" s="28" t="s">
        <v>51</v>
      </c>
      <c r="D49" s="30">
        <f>(D45*D43*D41+D46*D44*D42)/(D47*D48*D33*D38)</f>
        <v>2.7487661972017703</v>
      </c>
      <c r="E49" s="30">
        <f>(E45*E43*E41+E46*E44*E42)/(E47*E48*E33*E38)</f>
        <v>2.243658728727786</v>
      </c>
      <c r="F49" s="30">
        <f t="shared" ref="F49:J49" si="17">(F45*F43*F41+F46*F44*F42)/(F47*F48*F33*F38)</f>
        <v>2.2047128725440248</v>
      </c>
      <c r="G49" s="30">
        <f t="shared" si="17"/>
        <v>2.2007224412810746</v>
      </c>
      <c r="H49" s="30">
        <f t="shared" si="17"/>
        <v>2.2003031201408958</v>
      </c>
      <c r="I49" s="30">
        <f t="shared" si="17"/>
        <v>2.2002589415726161</v>
      </c>
      <c r="J49" s="30">
        <f t="shared" si="17"/>
        <v>2.2002542857518832</v>
      </c>
    </row>
    <row r="50" spans="2:10" ht="18">
      <c r="B50" s="27" t="s">
        <v>2</v>
      </c>
      <c r="C50" s="28" t="s">
        <v>51</v>
      </c>
      <c r="D50" s="30">
        <f>$C$4*(D32)^(-$C$5)</f>
        <v>2.5887926878256677</v>
      </c>
      <c r="E50" s="30">
        <f>D50</f>
        <v>2.5887926878256677</v>
      </c>
      <c r="F50" s="30">
        <f t="shared" ref="F50:J52" si="18">E50</f>
        <v>2.5887926878256677</v>
      </c>
      <c r="G50" s="30">
        <f t="shared" si="18"/>
        <v>2.5887926878256677</v>
      </c>
      <c r="H50" s="30">
        <f t="shared" si="18"/>
        <v>2.5887926878256677</v>
      </c>
      <c r="I50" s="30">
        <f t="shared" si="18"/>
        <v>2.5887926878256677</v>
      </c>
      <c r="J50" s="30">
        <f t="shared" si="18"/>
        <v>2.5887926878256677</v>
      </c>
    </row>
    <row r="51" spans="2:10">
      <c r="B51" s="27" t="s">
        <v>54</v>
      </c>
      <c r="C51" s="28"/>
      <c r="D51" s="30">
        <f>D25</f>
        <v>0.15</v>
      </c>
      <c r="E51" s="30">
        <f t="shared" ref="E51:E52" si="19">D51</f>
        <v>0.15</v>
      </c>
      <c r="F51" s="30">
        <f t="shared" si="18"/>
        <v>0.15</v>
      </c>
      <c r="G51" s="30">
        <f t="shared" si="18"/>
        <v>0.15</v>
      </c>
      <c r="H51" s="30">
        <f t="shared" si="18"/>
        <v>0.15</v>
      </c>
      <c r="I51" s="30">
        <f t="shared" si="18"/>
        <v>0.15</v>
      </c>
      <c r="J51" s="30">
        <f t="shared" si="18"/>
        <v>0.15</v>
      </c>
    </row>
    <row r="52" spans="2:10">
      <c r="B52" s="27" t="s">
        <v>55</v>
      </c>
      <c r="C52" s="28" t="s">
        <v>51</v>
      </c>
      <c r="D52" s="30">
        <f>D50*(1-D51)</f>
        <v>2.2004737846518174</v>
      </c>
      <c r="E52" s="30">
        <f t="shared" si="19"/>
        <v>2.2004737846518174</v>
      </c>
      <c r="F52" s="30">
        <f t="shared" si="18"/>
        <v>2.2004737846518174</v>
      </c>
      <c r="G52" s="30">
        <f t="shared" si="18"/>
        <v>2.2004737846518174</v>
      </c>
      <c r="H52" s="30">
        <f t="shared" si="18"/>
        <v>2.2004737846518174</v>
      </c>
      <c r="I52" s="30">
        <f t="shared" si="18"/>
        <v>2.2004737846518174</v>
      </c>
      <c r="J52" s="30">
        <f t="shared" si="18"/>
        <v>2.2004737846518174</v>
      </c>
    </row>
    <row r="53" spans="2:10">
      <c r="B53" s="11" t="s">
        <v>56</v>
      </c>
      <c r="C53" s="36"/>
      <c r="D53" s="30">
        <f>D49/D52</f>
        <v>1.2491701634321946</v>
      </c>
      <c r="E53" s="30">
        <f>E49/E52</f>
        <v>1.0196252935968524</v>
      </c>
      <c r="F53" s="30">
        <f t="shared" ref="F53:J53" si="20">F49/F52</f>
        <v>1.0019264432604356</v>
      </c>
      <c r="G53" s="30">
        <f t="shared" si="20"/>
        <v>1.0001130014049664</v>
      </c>
      <c r="H53" s="30">
        <f t="shared" si="20"/>
        <v>0.99992244192495638</v>
      </c>
      <c r="I53" s="30">
        <f t="shared" si="20"/>
        <v>0.99990236508123853</v>
      </c>
      <c r="J53" s="30">
        <f t="shared" si="20"/>
        <v>0.99990024925474452</v>
      </c>
    </row>
    <row r="54" spans="2:10">
      <c r="B54" s="11" t="s">
        <v>57</v>
      </c>
      <c r="C54" s="11"/>
      <c r="D54" s="32" t="str">
        <f t="shared" ref="D54:J54" si="21">IF(D49&lt;=D52,"Comply","Not Comply")</f>
        <v>Not Comply</v>
      </c>
      <c r="E54" s="32" t="str">
        <f t="shared" si="21"/>
        <v>Not Comply</v>
      </c>
      <c r="F54" s="32" t="str">
        <f t="shared" si="21"/>
        <v>Not Comply</v>
      </c>
      <c r="G54" s="32" t="str">
        <f t="shared" si="21"/>
        <v>Not Comply</v>
      </c>
      <c r="H54" s="32" t="str">
        <f t="shared" si="21"/>
        <v>Comply</v>
      </c>
      <c r="I54" s="32" t="str">
        <f t="shared" si="21"/>
        <v>Comply</v>
      </c>
      <c r="J54" s="32" t="str">
        <f t="shared" si="21"/>
        <v>Comply</v>
      </c>
    </row>
  </sheetData>
  <mergeCells count="3">
    <mergeCell ref="B2:E2"/>
    <mergeCell ref="B3:C3"/>
    <mergeCell ref="D3:E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>
      <selection activeCell="A17" sqref="A17"/>
    </sheetView>
  </sheetViews>
  <sheetFormatPr defaultColWidth="8.7109375" defaultRowHeight="12.75"/>
  <cols>
    <col min="1" max="1" width="167.85546875" style="47" customWidth="1"/>
    <col min="2" max="16384" width="8.7109375" style="47"/>
  </cols>
  <sheetData>
    <row r="1" spans="1:1" ht="12" customHeight="1"/>
    <row r="2" spans="1:1" ht="12" customHeight="1">
      <c r="A2" s="48" t="s">
        <v>128</v>
      </c>
    </row>
    <row r="3" spans="1:1" ht="12" customHeight="1">
      <c r="A3" s="48"/>
    </row>
    <row r="4" spans="1:1" ht="12" customHeight="1">
      <c r="A4" s="49" t="s">
        <v>132</v>
      </c>
    </row>
    <row r="5" spans="1:1" ht="12" customHeight="1">
      <c r="A5" s="49" t="s">
        <v>133</v>
      </c>
    </row>
    <row r="6" spans="1:1" ht="12" customHeight="1">
      <c r="A6" s="49" t="s">
        <v>135</v>
      </c>
    </row>
    <row r="7" spans="1:1" ht="34.5" customHeight="1">
      <c r="A7" s="49" t="s">
        <v>129</v>
      </c>
    </row>
    <row r="8" spans="1:1" ht="21" customHeight="1">
      <c r="A8" s="49" t="s">
        <v>130</v>
      </c>
    </row>
    <row r="9" spans="1:1" ht="20.45" customHeight="1">
      <c r="A9" s="49" t="s">
        <v>131</v>
      </c>
    </row>
    <row r="10" spans="1:1" ht="29.1" customHeight="1">
      <c r="A10" s="49" t="s">
        <v>134</v>
      </c>
    </row>
    <row r="11" spans="1:1" ht="12" customHeight="1">
      <c r="A11" s="48"/>
    </row>
    <row r="12" spans="1:1" ht="21.95" customHeight="1">
      <c r="A12" s="48" t="s">
        <v>139</v>
      </c>
    </row>
    <row r="13" spans="1:1" ht="21.6" customHeight="1">
      <c r="A13" s="48" t="s">
        <v>138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Views>
    <sheetView workbookViewId="0">
      <selection activeCell="G22" sqref="G22"/>
    </sheetView>
  </sheetViews>
  <sheetFormatPr defaultRowHeight="12.75"/>
  <cols>
    <col min="1" max="1" width="19.42578125" customWidth="1"/>
    <col min="2" max="2" width="16.85546875" customWidth="1"/>
    <col min="3" max="3" width="60.5703125" customWidth="1"/>
    <col min="4" max="4" width="41" customWidth="1"/>
  </cols>
  <sheetData>
    <row r="1" spans="1:4" ht="15">
      <c r="A1" s="38" t="s">
        <v>111</v>
      </c>
      <c r="B1" s="55" t="s">
        <v>17</v>
      </c>
      <c r="C1" s="57" t="s">
        <v>77</v>
      </c>
      <c r="D1" s="59"/>
    </row>
    <row r="2" spans="1:4" ht="18.75" thickBot="1">
      <c r="A2" s="43" t="s">
        <v>113</v>
      </c>
      <c r="B2" s="56"/>
      <c r="C2" s="58"/>
      <c r="D2" s="60"/>
    </row>
    <row r="3" spans="1:4" ht="15.75" thickBot="1">
      <c r="A3" s="39" t="s">
        <v>78</v>
      </c>
      <c r="B3" s="40" t="s">
        <v>79</v>
      </c>
      <c r="C3" s="41" t="s">
        <v>80</v>
      </c>
      <c r="D3" s="41"/>
    </row>
    <row r="4" spans="1:4" ht="15.75" thickBot="1">
      <c r="A4" s="39" t="s">
        <v>61</v>
      </c>
      <c r="B4" s="40" t="s">
        <v>81</v>
      </c>
      <c r="C4" s="41" t="s">
        <v>82</v>
      </c>
      <c r="D4" s="41"/>
    </row>
    <row r="5" spans="1:4" ht="18.75" thickBot="1">
      <c r="A5" s="39" t="s">
        <v>83</v>
      </c>
      <c r="B5" s="40" t="s">
        <v>33</v>
      </c>
      <c r="C5" s="41" t="s">
        <v>80</v>
      </c>
      <c r="D5" s="41"/>
    </row>
    <row r="6" spans="1:4" ht="21.6" customHeight="1" thickBot="1">
      <c r="A6" s="39" t="s">
        <v>84</v>
      </c>
      <c r="B6" s="40" t="s">
        <v>33</v>
      </c>
      <c r="C6" s="41" t="s">
        <v>85</v>
      </c>
      <c r="D6" s="41" t="s">
        <v>86</v>
      </c>
    </row>
    <row r="7" spans="1:4" ht="23.1" customHeight="1" thickBot="1">
      <c r="A7" s="39" t="s">
        <v>87</v>
      </c>
      <c r="B7" s="40" t="s">
        <v>33</v>
      </c>
      <c r="C7" s="41" t="s">
        <v>88</v>
      </c>
      <c r="D7" s="41" t="s">
        <v>89</v>
      </c>
    </row>
    <row r="8" spans="1:4" ht="20.45" customHeight="1" thickBot="1">
      <c r="A8" s="39" t="s">
        <v>90</v>
      </c>
      <c r="B8" s="40" t="s">
        <v>39</v>
      </c>
      <c r="C8" s="41" t="s">
        <v>91</v>
      </c>
      <c r="D8" s="41"/>
    </row>
    <row r="9" spans="1:4" ht="24.6" customHeight="1" thickBot="1">
      <c r="A9" s="39" t="s">
        <v>92</v>
      </c>
      <c r="B9" s="40" t="s">
        <v>33</v>
      </c>
      <c r="C9" s="41" t="s">
        <v>93</v>
      </c>
      <c r="D9" s="41" t="s">
        <v>94</v>
      </c>
    </row>
    <row r="10" spans="1:4" ht="18.75" thickBot="1">
      <c r="A10" s="39" t="s">
        <v>95</v>
      </c>
      <c r="B10" s="40" t="s">
        <v>33</v>
      </c>
      <c r="C10" s="41" t="s">
        <v>80</v>
      </c>
      <c r="D10" s="41"/>
    </row>
    <row r="11" spans="1:4" ht="18.600000000000001" customHeight="1" thickBot="1">
      <c r="A11" s="39" t="s">
        <v>96</v>
      </c>
      <c r="B11" s="40" t="s">
        <v>43</v>
      </c>
      <c r="C11" s="41" t="s">
        <v>97</v>
      </c>
      <c r="D11" s="41"/>
    </row>
    <row r="12" spans="1:4" ht="20.45" customHeight="1" thickBot="1">
      <c r="A12" s="39" t="s">
        <v>98</v>
      </c>
      <c r="B12" s="40" t="s">
        <v>43</v>
      </c>
      <c r="C12" s="41" t="s">
        <v>99</v>
      </c>
      <c r="D12" s="41"/>
    </row>
    <row r="13" spans="1:4" ht="19.5" customHeight="1" thickBot="1">
      <c r="A13" s="39" t="s">
        <v>100</v>
      </c>
      <c r="B13" s="40" t="s">
        <v>46</v>
      </c>
      <c r="C13" s="41" t="s">
        <v>101</v>
      </c>
      <c r="D13" s="41"/>
    </row>
    <row r="14" spans="1:4" ht="23.1" customHeight="1" thickBot="1">
      <c r="A14" s="39" t="s">
        <v>102</v>
      </c>
      <c r="B14" s="40" t="s">
        <v>46</v>
      </c>
      <c r="C14" s="41" t="s">
        <v>101</v>
      </c>
      <c r="D14" s="41"/>
    </row>
    <row r="15" spans="1:4" ht="18.75" thickBot="1">
      <c r="A15" s="39" t="s">
        <v>103</v>
      </c>
      <c r="B15" s="42"/>
      <c r="C15" s="41" t="s">
        <v>104</v>
      </c>
      <c r="D15" s="41"/>
    </row>
    <row r="16" spans="1:4" ht="18.75" thickBot="1">
      <c r="A16" s="39" t="s">
        <v>105</v>
      </c>
      <c r="B16" s="42"/>
      <c r="C16" s="41" t="s">
        <v>104</v>
      </c>
      <c r="D16" s="41"/>
    </row>
    <row r="17" spans="1:4" ht="38.450000000000003" customHeight="1" thickBot="1">
      <c r="A17" s="39" t="s">
        <v>50</v>
      </c>
      <c r="B17" s="40" t="s">
        <v>106</v>
      </c>
      <c r="C17" s="41" t="s">
        <v>107</v>
      </c>
      <c r="D17" s="41"/>
    </row>
    <row r="18" spans="1:4" ht="24" customHeight="1" thickBot="1">
      <c r="A18" s="39" t="s">
        <v>108</v>
      </c>
      <c r="B18" s="40" t="s">
        <v>106</v>
      </c>
      <c r="C18" s="41" t="s">
        <v>109</v>
      </c>
      <c r="D18" s="41"/>
    </row>
    <row r="19" spans="1:4" ht="15.75" thickBot="1">
      <c r="A19" s="39" t="s">
        <v>54</v>
      </c>
      <c r="B19" s="42"/>
      <c r="C19" s="41">
        <v>0.2</v>
      </c>
      <c r="D19" s="41"/>
    </row>
    <row r="20" spans="1:4" ht="21.95" customHeight="1" thickBot="1">
      <c r="A20" s="39" t="s">
        <v>55</v>
      </c>
      <c r="B20" s="40" t="s">
        <v>106</v>
      </c>
      <c r="C20" s="41" t="s">
        <v>136</v>
      </c>
      <c r="D20" s="41"/>
    </row>
    <row r="21" spans="1:4" ht="26.45" customHeight="1" thickBot="1">
      <c r="A21" s="39" t="s">
        <v>56</v>
      </c>
      <c r="B21" s="40"/>
      <c r="C21" s="41" t="s">
        <v>110</v>
      </c>
      <c r="D21" s="41"/>
    </row>
    <row r="23" spans="1:4" ht="13.5" thickBot="1"/>
    <row r="24" spans="1:4" ht="15">
      <c r="A24" s="38" t="s">
        <v>117</v>
      </c>
      <c r="B24" s="55" t="s">
        <v>17</v>
      </c>
      <c r="C24" s="57"/>
      <c r="D24" s="57"/>
    </row>
    <row r="25" spans="1:4" ht="18.75" thickBot="1">
      <c r="A25" s="43" t="s">
        <v>112</v>
      </c>
      <c r="B25" s="56"/>
      <c r="C25" s="58"/>
      <c r="D25" s="58"/>
    </row>
    <row r="26" spans="1:4" ht="15.75" thickBot="1">
      <c r="A26" s="39" t="s">
        <v>78</v>
      </c>
      <c r="B26" s="40" t="s">
        <v>79</v>
      </c>
      <c r="C26" s="41" t="s">
        <v>80</v>
      </c>
      <c r="D26" s="41"/>
    </row>
    <row r="27" spans="1:4" ht="15.75" thickBot="1">
      <c r="A27" s="39" t="s">
        <v>61</v>
      </c>
      <c r="B27" s="40" t="s">
        <v>81</v>
      </c>
      <c r="C27" s="41" t="s">
        <v>82</v>
      </c>
      <c r="D27" s="41"/>
    </row>
    <row r="28" spans="1:4" ht="18.75" thickBot="1">
      <c r="A28" s="39" t="s">
        <v>83</v>
      </c>
      <c r="B28" s="40" t="s">
        <v>33</v>
      </c>
      <c r="C28" s="41" t="s">
        <v>80</v>
      </c>
      <c r="D28" s="41"/>
    </row>
    <row r="29" spans="1:4" ht="18.75" thickBot="1">
      <c r="A29" s="39" t="s">
        <v>84</v>
      </c>
      <c r="B29" s="40" t="s">
        <v>33</v>
      </c>
      <c r="C29" s="41" t="s">
        <v>85</v>
      </c>
      <c r="D29" s="41" t="s">
        <v>86</v>
      </c>
    </row>
    <row r="30" spans="1:4" ht="18.75" thickBot="1">
      <c r="A30" s="39" t="s">
        <v>87</v>
      </c>
      <c r="B30" s="40" t="s">
        <v>33</v>
      </c>
      <c r="C30" s="41" t="s">
        <v>88</v>
      </c>
      <c r="D30" s="41" t="s">
        <v>89</v>
      </c>
    </row>
    <row r="31" spans="1:4" ht="33.75" thickBot="1">
      <c r="A31" s="39" t="s">
        <v>118</v>
      </c>
      <c r="B31" s="40" t="s">
        <v>33</v>
      </c>
      <c r="C31" s="41" t="s">
        <v>119</v>
      </c>
      <c r="D31" s="41"/>
    </row>
    <row r="32" spans="1:4" ht="19.5" thickBot="1">
      <c r="A32" s="39" t="s">
        <v>114</v>
      </c>
      <c r="B32" s="40" t="s">
        <v>120</v>
      </c>
      <c r="C32" s="41" t="s">
        <v>121</v>
      </c>
      <c r="D32" s="41"/>
    </row>
    <row r="33" spans="1:4" ht="18.75" thickBot="1">
      <c r="A33" s="39" t="s">
        <v>115</v>
      </c>
      <c r="B33" s="40" t="s">
        <v>39</v>
      </c>
      <c r="C33" s="41" t="s">
        <v>122</v>
      </c>
      <c r="D33" s="41"/>
    </row>
    <row r="34" spans="1:4" ht="18.75" thickBot="1">
      <c r="A34" s="39" t="s">
        <v>65</v>
      </c>
      <c r="B34" s="40" t="s">
        <v>39</v>
      </c>
      <c r="C34" s="41" t="s">
        <v>123</v>
      </c>
      <c r="D34" s="41"/>
    </row>
    <row r="35" spans="1:4" ht="18.75" thickBot="1">
      <c r="A35" s="39" t="s">
        <v>92</v>
      </c>
      <c r="B35" s="40" t="s">
        <v>33</v>
      </c>
      <c r="C35" s="41" t="s">
        <v>93</v>
      </c>
      <c r="D35" s="41" t="s">
        <v>94</v>
      </c>
    </row>
    <row r="36" spans="1:4" ht="18.75" thickBot="1">
      <c r="A36" s="39" t="s">
        <v>95</v>
      </c>
      <c r="B36" s="40" t="s">
        <v>33</v>
      </c>
      <c r="C36" s="41" t="s">
        <v>124</v>
      </c>
      <c r="D36" s="41"/>
    </row>
    <row r="37" spans="1:4" ht="18.75" thickBot="1">
      <c r="A37" s="39" t="s">
        <v>96</v>
      </c>
      <c r="B37" s="40" t="s">
        <v>43</v>
      </c>
      <c r="C37" s="41" t="s">
        <v>97</v>
      </c>
      <c r="D37" s="41"/>
    </row>
    <row r="38" spans="1:4" ht="18.75" thickBot="1">
      <c r="A38" s="39" t="s">
        <v>98</v>
      </c>
      <c r="B38" s="40" t="s">
        <v>43</v>
      </c>
      <c r="C38" s="41" t="s">
        <v>99</v>
      </c>
      <c r="D38" s="41"/>
    </row>
    <row r="39" spans="1:4" ht="18.75" thickBot="1">
      <c r="A39" s="39" t="s">
        <v>100</v>
      </c>
      <c r="B39" s="40" t="s">
        <v>125</v>
      </c>
      <c r="C39" s="41" t="s">
        <v>101</v>
      </c>
      <c r="D39" s="41"/>
    </row>
    <row r="40" spans="1:4" ht="18.75" thickBot="1">
      <c r="A40" s="39" t="s">
        <v>102</v>
      </c>
      <c r="B40" s="40" t="s">
        <v>125</v>
      </c>
      <c r="C40" s="41" t="s">
        <v>101</v>
      </c>
      <c r="D40" s="41"/>
    </row>
    <row r="41" spans="1:4" ht="18.75" thickBot="1">
      <c r="A41" s="39" t="s">
        <v>103</v>
      </c>
      <c r="B41" s="40"/>
      <c r="C41" s="41" t="s">
        <v>126</v>
      </c>
      <c r="D41" s="41"/>
    </row>
    <row r="42" spans="1:4" ht="18.75" thickBot="1">
      <c r="A42" s="39" t="s">
        <v>105</v>
      </c>
      <c r="B42" s="40"/>
      <c r="C42" s="41" t="s">
        <v>127</v>
      </c>
      <c r="D42" s="41"/>
    </row>
    <row r="43" spans="1:4" ht="18.75" thickBot="1">
      <c r="A43" s="39" t="s">
        <v>50</v>
      </c>
      <c r="B43" s="40" t="s">
        <v>106</v>
      </c>
      <c r="C43" s="41" t="s">
        <v>107</v>
      </c>
      <c r="D43" s="41"/>
    </row>
    <row r="44" spans="1:4" ht="18.75" thickBot="1">
      <c r="A44" s="39" t="s">
        <v>108</v>
      </c>
      <c r="B44" s="40" t="s">
        <v>106</v>
      </c>
      <c r="C44" s="41" t="s">
        <v>109</v>
      </c>
      <c r="D44" s="41"/>
    </row>
    <row r="45" spans="1:4" ht="15.75" thickBot="1">
      <c r="A45" s="39" t="s">
        <v>54</v>
      </c>
      <c r="B45" s="40"/>
      <c r="C45" s="41">
        <v>0.2</v>
      </c>
      <c r="D45" s="41"/>
    </row>
    <row r="46" spans="1:4" ht="18.75" thickBot="1">
      <c r="A46" s="39" t="s">
        <v>55</v>
      </c>
      <c r="B46" s="40" t="s">
        <v>106</v>
      </c>
      <c r="C46" s="41" t="s">
        <v>136</v>
      </c>
      <c r="D46" s="41"/>
    </row>
  </sheetData>
  <mergeCells count="6">
    <mergeCell ref="B24:B25"/>
    <mergeCell ref="C24:C25"/>
    <mergeCell ref="D24:D25"/>
    <mergeCell ref="B1:B2"/>
    <mergeCell ref="C1:C2"/>
    <mergeCell ref="D1:D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EEXI Tanker</vt:lpstr>
      <vt:lpstr>EEXI Chemical Tanker</vt:lpstr>
      <vt:lpstr>EEXI LPG</vt:lpstr>
      <vt:lpstr>EEXI LNG</vt:lpstr>
      <vt:lpstr>EEXI VLCC</vt:lpstr>
      <vt:lpstr>GUIDANCE</vt:lpstr>
      <vt:lpstr>FORMULAS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exceltemplate</dc:title>
  <dc:creator>Erik Ranheim</dc:creator>
  <cp:lastModifiedBy>Milan Samaddar</cp:lastModifiedBy>
  <cp:lastPrinted>2000-01-14T09:55:57Z</cp:lastPrinted>
  <dcterms:created xsi:type="dcterms:W3CDTF">2011-04-12T09:02:35Z</dcterms:created>
  <dcterms:modified xsi:type="dcterms:W3CDTF">2020-11-24T12:02:45Z</dcterms:modified>
</cp:coreProperties>
</file>