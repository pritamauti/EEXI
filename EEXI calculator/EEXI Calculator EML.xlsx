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rooq\Desktop\EEXI calculator\"/>
    </mc:Choice>
  </mc:AlternateContent>
  <xr:revisionPtr revIDLastSave="0" documentId="13_ncr:1_{C8C62A34-83BA-4874-821A-36759C059B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ubai Angel" sheetId="1" r:id="rId1"/>
    <sheet name="Dubai Sun" sheetId="24" r:id="rId2"/>
    <sheet name="GUIDANCE" sheetId="20" r:id="rId3"/>
    <sheet name="FORMULAS" sheetId="1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" i="24" l="1"/>
  <c r="F51" i="24" s="1"/>
  <c r="G51" i="24" s="1"/>
  <c r="H51" i="24" s="1"/>
  <c r="I51" i="24" s="1"/>
  <c r="J51" i="24" s="1"/>
  <c r="D51" i="24"/>
  <c r="F48" i="24"/>
  <c r="G48" i="24" s="1"/>
  <c r="H48" i="24" s="1"/>
  <c r="I48" i="24" s="1"/>
  <c r="J48" i="24" s="1"/>
  <c r="E48" i="24"/>
  <c r="D48" i="24"/>
  <c r="E47" i="24"/>
  <c r="F47" i="24" s="1"/>
  <c r="G47" i="24" s="1"/>
  <c r="H47" i="24" s="1"/>
  <c r="I47" i="24" s="1"/>
  <c r="J47" i="24" s="1"/>
  <c r="D47" i="24"/>
  <c r="D46" i="24"/>
  <c r="E46" i="24" s="1"/>
  <c r="F46" i="24" s="1"/>
  <c r="G46" i="24" s="1"/>
  <c r="H46" i="24" s="1"/>
  <c r="I46" i="24" s="1"/>
  <c r="J46" i="24" s="1"/>
  <c r="D45" i="24"/>
  <c r="E45" i="24" s="1"/>
  <c r="E44" i="24"/>
  <c r="F44" i="24" s="1"/>
  <c r="G44" i="24" s="1"/>
  <c r="H44" i="24" s="1"/>
  <c r="I44" i="24" s="1"/>
  <c r="J44" i="24" s="1"/>
  <c r="D44" i="24"/>
  <c r="E43" i="24"/>
  <c r="F43" i="24" s="1"/>
  <c r="G43" i="24" s="1"/>
  <c r="H43" i="24" s="1"/>
  <c r="I43" i="24" s="1"/>
  <c r="J43" i="24" s="1"/>
  <c r="D43" i="24"/>
  <c r="D34" i="24"/>
  <c r="D41" i="24" s="1"/>
  <c r="E32" i="24"/>
  <c r="F32" i="24" s="1"/>
  <c r="G32" i="24" s="1"/>
  <c r="H32" i="24" s="1"/>
  <c r="I32" i="24" s="1"/>
  <c r="J32" i="24" s="1"/>
  <c r="D32" i="24"/>
  <c r="D39" i="24" s="1"/>
  <c r="C30" i="24"/>
  <c r="B30" i="24"/>
  <c r="E25" i="24"/>
  <c r="F25" i="24" s="1"/>
  <c r="G25" i="24" s="1"/>
  <c r="H25" i="24" s="1"/>
  <c r="I25" i="24" s="1"/>
  <c r="J25" i="24" s="1"/>
  <c r="D24" i="24"/>
  <c r="D26" i="24" s="1"/>
  <c r="E26" i="24" s="1"/>
  <c r="F26" i="24" s="1"/>
  <c r="G26" i="24" s="1"/>
  <c r="H26" i="24" s="1"/>
  <c r="I26" i="24" s="1"/>
  <c r="J26" i="24" s="1"/>
  <c r="E22" i="24"/>
  <c r="F22" i="24" s="1"/>
  <c r="G22" i="24" s="1"/>
  <c r="H22" i="24" s="1"/>
  <c r="I22" i="24" s="1"/>
  <c r="J22" i="24" s="1"/>
  <c r="F21" i="24"/>
  <c r="G21" i="24" s="1"/>
  <c r="H21" i="24" s="1"/>
  <c r="I21" i="24" s="1"/>
  <c r="J21" i="24" s="1"/>
  <c r="E21" i="24"/>
  <c r="E20" i="24"/>
  <c r="F20" i="24" s="1"/>
  <c r="G20" i="24" s="1"/>
  <c r="H20" i="24" s="1"/>
  <c r="I20" i="24" s="1"/>
  <c r="J20" i="24" s="1"/>
  <c r="F19" i="24"/>
  <c r="E19" i="24"/>
  <c r="E18" i="24"/>
  <c r="F18" i="24" s="1"/>
  <c r="G18" i="24" s="1"/>
  <c r="H18" i="24" s="1"/>
  <c r="I18" i="24" s="1"/>
  <c r="J18" i="24" s="1"/>
  <c r="F17" i="24"/>
  <c r="G17" i="24" s="1"/>
  <c r="H17" i="24" s="1"/>
  <c r="I17" i="24" s="1"/>
  <c r="J17" i="24" s="1"/>
  <c r="E17" i="24"/>
  <c r="D16" i="24"/>
  <c r="E16" i="24" s="1"/>
  <c r="F16" i="24" s="1"/>
  <c r="G16" i="24" s="1"/>
  <c r="H16" i="24" s="1"/>
  <c r="I16" i="24" s="1"/>
  <c r="J16" i="24" s="1"/>
  <c r="D15" i="24"/>
  <c r="E11" i="24"/>
  <c r="F11" i="24" s="1"/>
  <c r="G11" i="24" s="1"/>
  <c r="H11" i="24" s="1"/>
  <c r="I11" i="24" s="1"/>
  <c r="J11" i="24" s="1"/>
  <c r="D10" i="24"/>
  <c r="D33" i="24" s="1"/>
  <c r="E33" i="24" s="1"/>
  <c r="F33" i="24" s="1"/>
  <c r="G33" i="24" s="1"/>
  <c r="H33" i="24" s="1"/>
  <c r="I33" i="24" s="1"/>
  <c r="J33" i="24" s="1"/>
  <c r="E9" i="24"/>
  <c r="F9" i="24" s="1"/>
  <c r="G9" i="24" s="1"/>
  <c r="H9" i="24" s="1"/>
  <c r="I9" i="24" s="1"/>
  <c r="J9" i="24" s="1"/>
  <c r="G51" i="1"/>
  <c r="H51" i="1" s="1"/>
  <c r="I51" i="1" s="1"/>
  <c r="J51" i="1" s="1"/>
  <c r="D51" i="1"/>
  <c r="E51" i="1" s="1"/>
  <c r="F51" i="1" s="1"/>
  <c r="D48" i="1"/>
  <c r="E48" i="1" s="1"/>
  <c r="F48" i="1" s="1"/>
  <c r="G48" i="1" s="1"/>
  <c r="H48" i="1" s="1"/>
  <c r="I48" i="1" s="1"/>
  <c r="J48" i="1" s="1"/>
  <c r="D47" i="1"/>
  <c r="E47" i="1" s="1"/>
  <c r="F47" i="1" s="1"/>
  <c r="G47" i="1" s="1"/>
  <c r="H47" i="1" s="1"/>
  <c r="I47" i="1" s="1"/>
  <c r="J47" i="1" s="1"/>
  <c r="D46" i="1"/>
  <c r="E46" i="1" s="1"/>
  <c r="F46" i="1" s="1"/>
  <c r="G46" i="1" s="1"/>
  <c r="H46" i="1" s="1"/>
  <c r="I46" i="1" s="1"/>
  <c r="J46" i="1" s="1"/>
  <c r="D45" i="1"/>
  <c r="E45" i="1" s="1"/>
  <c r="D44" i="1"/>
  <c r="E44" i="1" s="1"/>
  <c r="F44" i="1" s="1"/>
  <c r="G44" i="1" s="1"/>
  <c r="H44" i="1" s="1"/>
  <c r="I44" i="1" s="1"/>
  <c r="J44" i="1" s="1"/>
  <c r="E43" i="1"/>
  <c r="F43" i="1" s="1"/>
  <c r="G43" i="1" s="1"/>
  <c r="H43" i="1" s="1"/>
  <c r="I43" i="1" s="1"/>
  <c r="J43" i="1" s="1"/>
  <c r="D43" i="1"/>
  <c r="D34" i="1"/>
  <c r="D32" i="1"/>
  <c r="D50" i="1" s="1"/>
  <c r="E50" i="1" s="1"/>
  <c r="F50" i="1" s="1"/>
  <c r="G50" i="1" s="1"/>
  <c r="H50" i="1" s="1"/>
  <c r="I50" i="1" s="1"/>
  <c r="J50" i="1" s="1"/>
  <c r="C30" i="1"/>
  <c r="B30" i="1"/>
  <c r="E25" i="1"/>
  <c r="F25" i="1" s="1"/>
  <c r="G25" i="1" s="1"/>
  <c r="H25" i="1" s="1"/>
  <c r="I25" i="1" s="1"/>
  <c r="J25" i="1" s="1"/>
  <c r="D24" i="1"/>
  <c r="D26" i="1" s="1"/>
  <c r="E26" i="1" s="1"/>
  <c r="F26" i="1" s="1"/>
  <c r="G26" i="1" s="1"/>
  <c r="H26" i="1" s="1"/>
  <c r="I26" i="1" s="1"/>
  <c r="J26" i="1" s="1"/>
  <c r="E22" i="1"/>
  <c r="F22" i="1" s="1"/>
  <c r="G22" i="1" s="1"/>
  <c r="H22" i="1" s="1"/>
  <c r="I22" i="1" s="1"/>
  <c r="J22" i="1" s="1"/>
  <c r="E21" i="1"/>
  <c r="F21" i="1" s="1"/>
  <c r="G21" i="1" s="1"/>
  <c r="H21" i="1" s="1"/>
  <c r="I21" i="1" s="1"/>
  <c r="J21" i="1" s="1"/>
  <c r="E20" i="1"/>
  <c r="F20" i="1" s="1"/>
  <c r="G20" i="1" s="1"/>
  <c r="H20" i="1" s="1"/>
  <c r="I20" i="1" s="1"/>
  <c r="J20" i="1" s="1"/>
  <c r="F19" i="1"/>
  <c r="E19" i="1"/>
  <c r="E18" i="1"/>
  <c r="F18" i="1" s="1"/>
  <c r="G18" i="1" s="1"/>
  <c r="H18" i="1" s="1"/>
  <c r="I18" i="1" s="1"/>
  <c r="J18" i="1" s="1"/>
  <c r="E17" i="1"/>
  <c r="F17" i="1" s="1"/>
  <c r="G17" i="1" s="1"/>
  <c r="H17" i="1" s="1"/>
  <c r="I17" i="1" s="1"/>
  <c r="J17" i="1" s="1"/>
  <c r="D16" i="1"/>
  <c r="E16" i="1" s="1"/>
  <c r="F16" i="1" s="1"/>
  <c r="G16" i="1" s="1"/>
  <c r="H16" i="1" s="1"/>
  <c r="I16" i="1" s="1"/>
  <c r="J16" i="1" s="1"/>
  <c r="D15" i="1"/>
  <c r="E11" i="1"/>
  <c r="F11" i="1" s="1"/>
  <c r="G11" i="1" s="1"/>
  <c r="H11" i="1" s="1"/>
  <c r="I11" i="1" s="1"/>
  <c r="J11" i="1" s="1"/>
  <c r="D10" i="1"/>
  <c r="D33" i="1" s="1"/>
  <c r="E33" i="1" s="1"/>
  <c r="F33" i="1" s="1"/>
  <c r="G33" i="1" s="1"/>
  <c r="H33" i="1" s="1"/>
  <c r="I33" i="1" s="1"/>
  <c r="J33" i="1" s="1"/>
  <c r="E9" i="1"/>
  <c r="F9" i="1" s="1"/>
  <c r="G9" i="1" s="1"/>
  <c r="H9" i="1" s="1"/>
  <c r="I9" i="1" s="1"/>
  <c r="J9" i="1" s="1"/>
  <c r="D23" i="24" l="1"/>
  <c r="D27" i="24" s="1"/>
  <c r="E15" i="24" s="1"/>
  <c r="D50" i="24"/>
  <c r="D52" i="24" s="1"/>
  <c r="E52" i="24" s="1"/>
  <c r="F52" i="24" s="1"/>
  <c r="G52" i="24" s="1"/>
  <c r="H52" i="24" s="1"/>
  <c r="I52" i="24" s="1"/>
  <c r="J52" i="24" s="1"/>
  <c r="D40" i="24"/>
  <c r="F45" i="24"/>
  <c r="E10" i="24"/>
  <c r="F10" i="24" s="1"/>
  <c r="G10" i="24" s="1"/>
  <c r="H10" i="24" s="1"/>
  <c r="I10" i="24" s="1"/>
  <c r="J10" i="24" s="1"/>
  <c r="E24" i="24"/>
  <c r="F24" i="24" s="1"/>
  <c r="G24" i="24" s="1"/>
  <c r="H24" i="24" s="1"/>
  <c r="I24" i="24" s="1"/>
  <c r="J24" i="24" s="1"/>
  <c r="D42" i="24"/>
  <c r="E42" i="24" s="1"/>
  <c r="F42" i="24" s="1"/>
  <c r="G42" i="24" s="1"/>
  <c r="H42" i="24" s="1"/>
  <c r="I42" i="24" s="1"/>
  <c r="J42" i="24" s="1"/>
  <c r="G19" i="24"/>
  <c r="E34" i="24"/>
  <c r="F34" i="24" s="1"/>
  <c r="G34" i="24" s="1"/>
  <c r="H34" i="24" s="1"/>
  <c r="I34" i="24" s="1"/>
  <c r="J34" i="24" s="1"/>
  <c r="D39" i="1"/>
  <c r="D40" i="1" s="1"/>
  <c r="D23" i="1"/>
  <c r="D27" i="1" s="1"/>
  <c r="E15" i="1" s="1"/>
  <c r="E24" i="1"/>
  <c r="F24" i="1" s="1"/>
  <c r="G24" i="1" s="1"/>
  <c r="H24" i="1" s="1"/>
  <c r="I24" i="1" s="1"/>
  <c r="J24" i="1" s="1"/>
  <c r="E32" i="1"/>
  <c r="F32" i="1" s="1"/>
  <c r="G32" i="1" s="1"/>
  <c r="H32" i="1" s="1"/>
  <c r="I32" i="1" s="1"/>
  <c r="J32" i="1" s="1"/>
  <c r="D52" i="1"/>
  <c r="E52" i="1" s="1"/>
  <c r="F52" i="1" s="1"/>
  <c r="G52" i="1" s="1"/>
  <c r="H52" i="1" s="1"/>
  <c r="I52" i="1" s="1"/>
  <c r="J52" i="1" s="1"/>
  <c r="E10" i="1"/>
  <c r="F10" i="1" s="1"/>
  <c r="G10" i="1" s="1"/>
  <c r="H10" i="1" s="1"/>
  <c r="I10" i="1" s="1"/>
  <c r="J10" i="1" s="1"/>
  <c r="D37" i="1"/>
  <c r="F45" i="1"/>
  <c r="G19" i="1"/>
  <c r="E34" i="1"/>
  <c r="F34" i="1" s="1"/>
  <c r="G34" i="1" s="1"/>
  <c r="H34" i="1" s="1"/>
  <c r="I34" i="1" s="1"/>
  <c r="J34" i="1" s="1"/>
  <c r="D41" i="1"/>
  <c r="D42" i="1"/>
  <c r="E42" i="1" s="1"/>
  <c r="F42" i="1" s="1"/>
  <c r="G42" i="1" s="1"/>
  <c r="H42" i="1" s="1"/>
  <c r="I42" i="1" s="1"/>
  <c r="J42" i="1" s="1"/>
  <c r="D28" i="24" l="1"/>
  <c r="E50" i="24"/>
  <c r="F50" i="24" s="1"/>
  <c r="G50" i="24" s="1"/>
  <c r="H50" i="24" s="1"/>
  <c r="I50" i="24" s="1"/>
  <c r="J50" i="24" s="1"/>
  <c r="D37" i="24"/>
  <c r="D38" i="24" s="1"/>
  <c r="D49" i="24" s="1"/>
  <c r="H19" i="24"/>
  <c r="E13" i="24"/>
  <c r="E14" i="24"/>
  <c r="E23" i="24" s="1"/>
  <c r="E12" i="24"/>
  <c r="G45" i="24"/>
  <c r="D38" i="1"/>
  <c r="D28" i="1"/>
  <c r="D49" i="1"/>
  <c r="D54" i="1" s="1"/>
  <c r="G45" i="1"/>
  <c r="H19" i="1"/>
  <c r="E14" i="1"/>
  <c r="E12" i="1"/>
  <c r="E13" i="1"/>
  <c r="E28" i="24" l="1"/>
  <c r="E27" i="24"/>
  <c r="F15" i="24" s="1"/>
  <c r="H45" i="24"/>
  <c r="I19" i="24"/>
  <c r="D53" i="24"/>
  <c r="E41" i="24" s="1"/>
  <c r="D54" i="24"/>
  <c r="D53" i="1"/>
  <c r="E41" i="1" s="1"/>
  <c r="E38" i="1" s="1"/>
  <c r="I19" i="1"/>
  <c r="H45" i="1"/>
  <c r="E23" i="1"/>
  <c r="E36" i="24" l="1"/>
  <c r="E35" i="24"/>
  <c r="E38" i="24"/>
  <c r="I45" i="24"/>
  <c r="J19" i="24"/>
  <c r="F13" i="24"/>
  <c r="F12" i="24"/>
  <c r="F14" i="24"/>
  <c r="E35" i="1"/>
  <c r="E49" i="1"/>
  <c r="E36" i="1"/>
  <c r="E27" i="1"/>
  <c r="F15" i="1" s="1"/>
  <c r="E28" i="1"/>
  <c r="E54" i="1"/>
  <c r="E53" i="1"/>
  <c r="F41" i="1" s="1"/>
  <c r="I45" i="1"/>
  <c r="J19" i="1"/>
  <c r="E49" i="24" l="1"/>
  <c r="F23" i="24"/>
  <c r="J45" i="24"/>
  <c r="F13" i="1"/>
  <c r="F12" i="1"/>
  <c r="F14" i="1"/>
  <c r="F23" i="1" s="1"/>
  <c r="J45" i="1"/>
  <c r="F35" i="1"/>
  <c r="F36" i="1"/>
  <c r="F38" i="1"/>
  <c r="E53" i="24" l="1"/>
  <c r="F41" i="24" s="1"/>
  <c r="E54" i="24"/>
  <c r="F27" i="24"/>
  <c r="G15" i="24" s="1"/>
  <c r="F28" i="24"/>
  <c r="F28" i="1"/>
  <c r="F27" i="1"/>
  <c r="G15" i="1" s="1"/>
  <c r="G14" i="1" s="1"/>
  <c r="F49" i="1"/>
  <c r="G12" i="24" l="1"/>
  <c r="G13" i="24"/>
  <c r="G14" i="24"/>
  <c r="G23" i="24" s="1"/>
  <c r="F36" i="24"/>
  <c r="F35" i="24"/>
  <c r="F38" i="24"/>
  <c r="F53" i="1"/>
  <c r="G41" i="1" s="1"/>
  <c r="F54" i="1"/>
  <c r="G13" i="1"/>
  <c r="G12" i="1"/>
  <c r="G23" i="1"/>
  <c r="G27" i="24" l="1"/>
  <c r="H15" i="24" s="1"/>
  <c r="H14" i="24" s="1"/>
  <c r="G28" i="24"/>
  <c r="F49" i="24"/>
  <c r="G28" i="1"/>
  <c r="G27" i="1"/>
  <c r="H15" i="1" s="1"/>
  <c r="G36" i="1"/>
  <c r="G35" i="1"/>
  <c r="G38" i="1"/>
  <c r="G49" i="1" s="1"/>
  <c r="F54" i="24" l="1"/>
  <c r="F53" i="24"/>
  <c r="G41" i="24" s="1"/>
  <c r="H12" i="24"/>
  <c r="H13" i="24"/>
  <c r="H23" i="24"/>
  <c r="H12" i="1"/>
  <c r="H13" i="1"/>
  <c r="H14" i="1"/>
  <c r="G53" i="1"/>
  <c r="H41" i="1" s="1"/>
  <c r="H38" i="1" s="1"/>
  <c r="G54" i="1"/>
  <c r="G35" i="24" l="1"/>
  <c r="G36" i="24"/>
  <c r="G38" i="24"/>
  <c r="G49" i="24" s="1"/>
  <c r="H27" i="24"/>
  <c r="I15" i="24" s="1"/>
  <c r="H28" i="24"/>
  <c r="H23" i="1"/>
  <c r="H36" i="1"/>
  <c r="H35" i="1"/>
  <c r="H49" i="1"/>
  <c r="G53" i="24" l="1"/>
  <c r="H41" i="24" s="1"/>
  <c r="G54" i="24"/>
  <c r="I13" i="24"/>
  <c r="I12" i="24"/>
  <c r="I14" i="24"/>
  <c r="I23" i="24" s="1"/>
  <c r="H53" i="1"/>
  <c r="I41" i="1" s="1"/>
  <c r="H54" i="1"/>
  <c r="H27" i="1"/>
  <c r="I15" i="1" s="1"/>
  <c r="H28" i="1"/>
  <c r="I28" i="24" l="1"/>
  <c r="I27" i="24"/>
  <c r="J15" i="24" s="1"/>
  <c r="H35" i="24"/>
  <c r="H36" i="24"/>
  <c r="H38" i="24"/>
  <c r="I12" i="1"/>
  <c r="I13" i="1"/>
  <c r="I14" i="1"/>
  <c r="I23" i="1" s="1"/>
  <c r="I35" i="1"/>
  <c r="I36" i="1"/>
  <c r="I38" i="1"/>
  <c r="I49" i="1" s="1"/>
  <c r="J13" i="24" l="1"/>
  <c r="J12" i="24"/>
  <c r="J14" i="24"/>
  <c r="J23" i="24" s="1"/>
  <c r="H49" i="24"/>
  <c r="I27" i="1"/>
  <c r="J15" i="1" s="1"/>
  <c r="J14" i="1" s="1"/>
  <c r="I28" i="1"/>
  <c r="I54" i="1"/>
  <c r="I53" i="1"/>
  <c r="J41" i="1" s="1"/>
  <c r="J27" i="24" l="1"/>
  <c r="J28" i="24"/>
  <c r="H54" i="24"/>
  <c r="H53" i="24"/>
  <c r="I41" i="24" s="1"/>
  <c r="J35" i="1"/>
  <c r="J36" i="1"/>
  <c r="J38" i="1"/>
  <c r="J49" i="1" s="1"/>
  <c r="J12" i="1"/>
  <c r="J13" i="1"/>
  <c r="J23" i="1"/>
  <c r="I36" i="24" l="1"/>
  <c r="I35" i="24"/>
  <c r="I38" i="24"/>
  <c r="J53" i="1"/>
  <c r="J54" i="1"/>
  <c r="J28" i="1"/>
  <c r="J27" i="1"/>
  <c r="I49" i="24" l="1"/>
  <c r="I53" i="24" l="1"/>
  <c r="J41" i="24" s="1"/>
  <c r="I54" i="24"/>
  <c r="J36" i="24" l="1"/>
  <c r="J35" i="24"/>
  <c r="J38" i="24"/>
  <c r="J49" i="24" s="1"/>
  <c r="J54" i="24" l="1"/>
  <c r="J53" i="24"/>
</calcChain>
</file>

<file path=xl/sharedStrings.xml><?xml version="1.0" encoding="utf-8"?>
<sst xmlns="http://schemas.openxmlformats.org/spreadsheetml/2006/main" count="428" uniqueCount="127">
  <si>
    <t>Tanker</t>
    <phoneticPr fontId="0"/>
  </si>
  <si>
    <t>Reduction factors (in percentage) for the EEXI relative to the EEDI reference line</t>
    <phoneticPr fontId="0"/>
  </si>
  <si>
    <r>
      <t>EIV</t>
    </r>
    <r>
      <rPr>
        <vertAlign val="subscript"/>
        <sz val="11"/>
        <color theme="1"/>
        <rFont val="Calibri"/>
        <family val="2"/>
      </rPr>
      <t>avg</t>
    </r>
  </si>
  <si>
    <r>
      <t>V</t>
    </r>
    <r>
      <rPr>
        <vertAlign val="subscript"/>
        <sz val="11"/>
        <color theme="1"/>
        <rFont val="Calibri"/>
        <family val="2"/>
      </rPr>
      <t>avg</t>
    </r>
  </si>
  <si>
    <t>Ship type</t>
  </si>
  <si>
    <t>Size</t>
  </si>
  <si>
    <t>Reduction factor</t>
  </si>
  <si>
    <t>a</t>
  </si>
  <si>
    <t>A</t>
  </si>
  <si>
    <t>c</t>
  </si>
  <si>
    <t>C</t>
  </si>
  <si>
    <t>Before EPL</t>
  </si>
  <si>
    <t>After EPL</t>
  </si>
  <si>
    <t>Unit</t>
  </si>
  <si>
    <r>
      <t>V</t>
    </r>
    <r>
      <rPr>
        <b/>
        <vertAlign val="subscript"/>
        <sz val="9"/>
        <color theme="1"/>
        <rFont val="Calibri"/>
        <family val="2"/>
      </rPr>
      <t>ref</t>
    </r>
    <r>
      <rPr>
        <b/>
        <sz val="9"/>
        <color theme="1"/>
        <rFont val="Calibri"/>
        <family val="2"/>
      </rPr>
      <t xml:space="preserve"> available</t>
    </r>
  </si>
  <si>
    <t>Iteration 1</t>
  </si>
  <si>
    <t>Iteration 2</t>
  </si>
  <si>
    <t>Iteration 3</t>
  </si>
  <si>
    <t>Iteration 4</t>
  </si>
  <si>
    <t>Iteration 5</t>
  </si>
  <si>
    <t>Iteration 6</t>
    <phoneticPr fontId="0"/>
  </si>
  <si>
    <t>Deadweight</t>
    <phoneticPr fontId="0"/>
  </si>
  <si>
    <t>DWT</t>
    <phoneticPr fontId="0"/>
  </si>
  <si>
    <t>Tanker</t>
  </si>
  <si>
    <t xml:space="preserve">20,000 DWT and above </t>
    <phoneticPr fontId="0"/>
  </si>
  <si>
    <t>100%DWT</t>
    <phoneticPr fontId="0"/>
  </si>
  <si>
    <t>4,000 and above but less than 20,000 DWT</t>
  </si>
  <si>
    <r>
      <t>MCR</t>
    </r>
    <r>
      <rPr>
        <vertAlign val="subscript"/>
        <sz val="11"/>
        <color theme="1"/>
        <rFont val="Calibri"/>
        <family val="2"/>
      </rPr>
      <t>ME</t>
    </r>
  </si>
  <si>
    <t>kW</t>
  </si>
  <si>
    <r>
      <t>MCR</t>
    </r>
    <r>
      <rPr>
        <vertAlign val="subscript"/>
        <sz val="11"/>
        <color theme="1"/>
        <rFont val="Calibri"/>
        <family val="2"/>
      </rPr>
      <t>lim</t>
    </r>
    <r>
      <rPr>
        <sz val="11"/>
        <color theme="1"/>
        <rFont val="Calibri"/>
        <family val="2"/>
      </rPr>
      <t xml:space="preserve"> (P</t>
    </r>
    <r>
      <rPr>
        <vertAlign val="subscript"/>
        <sz val="11"/>
        <color theme="1"/>
        <rFont val="Calibri"/>
        <family val="2"/>
      </rPr>
      <t>ME</t>
    </r>
    <r>
      <rPr>
        <sz val="11"/>
        <color theme="1"/>
        <rFont val="Calibri"/>
        <family val="2"/>
      </rPr>
      <t>/0.75)</t>
    </r>
  </si>
  <si>
    <t>-</t>
  </si>
  <si>
    <r>
      <t>MCR</t>
    </r>
    <r>
      <rPr>
        <vertAlign val="subscript"/>
        <sz val="11"/>
        <color theme="1"/>
        <rFont val="Calibri"/>
        <family val="2"/>
      </rPr>
      <t>lim</t>
    </r>
    <r>
      <rPr>
        <sz val="11"/>
        <color theme="1"/>
        <rFont val="Calibri"/>
        <family val="2"/>
      </rPr>
      <t xml:space="preserve"> (P</t>
    </r>
    <r>
      <rPr>
        <vertAlign val="subscript"/>
        <sz val="11"/>
        <color theme="1"/>
        <rFont val="Calibri"/>
        <family val="2"/>
      </rPr>
      <t>ME</t>
    </r>
    <r>
      <rPr>
        <sz val="11"/>
        <color theme="1"/>
        <rFont val="Calibri"/>
        <family val="2"/>
      </rPr>
      <t>/0.87)</t>
    </r>
  </si>
  <si>
    <t>kW</t>
    <phoneticPr fontId="0"/>
  </si>
  <si>
    <r>
      <t>V</t>
    </r>
    <r>
      <rPr>
        <vertAlign val="subscript"/>
        <sz val="11"/>
        <color theme="1"/>
        <rFont val="Calibri"/>
        <family val="2"/>
      </rPr>
      <t>ref</t>
    </r>
  </si>
  <si>
    <t>knot</t>
  </si>
  <si>
    <r>
      <t>P</t>
    </r>
    <r>
      <rPr>
        <vertAlign val="subscript"/>
        <sz val="11"/>
        <color theme="1"/>
        <rFont val="Calibri"/>
        <family val="2"/>
      </rPr>
      <t>ME</t>
    </r>
  </si>
  <si>
    <r>
      <t>P</t>
    </r>
    <r>
      <rPr>
        <vertAlign val="subscript"/>
        <sz val="11"/>
        <color theme="1"/>
        <rFont val="Calibri"/>
        <family val="2"/>
      </rPr>
      <t>AE</t>
    </r>
  </si>
  <si>
    <r>
      <t>SFC</t>
    </r>
    <r>
      <rPr>
        <vertAlign val="subscript"/>
        <sz val="11"/>
        <color theme="1"/>
        <rFont val="Calibri"/>
        <family val="2"/>
      </rPr>
      <t>ME</t>
    </r>
  </si>
  <si>
    <t>g/kWh</t>
  </si>
  <si>
    <r>
      <t>SFC</t>
    </r>
    <r>
      <rPr>
        <vertAlign val="subscript"/>
        <sz val="11"/>
        <color theme="1"/>
        <rFont val="Calibri"/>
        <family val="2"/>
      </rPr>
      <t>AE</t>
    </r>
  </si>
  <si>
    <r>
      <t>CF</t>
    </r>
    <r>
      <rPr>
        <vertAlign val="subscript"/>
        <sz val="11"/>
        <color theme="1"/>
        <rFont val="Calibri"/>
        <family val="2"/>
      </rPr>
      <t>ME</t>
    </r>
  </si>
  <si>
    <t>t-CO2/t-fuel</t>
  </si>
  <si>
    <r>
      <t>CF</t>
    </r>
    <r>
      <rPr>
        <vertAlign val="subscript"/>
        <sz val="11"/>
        <color theme="1"/>
        <rFont val="Calibri"/>
        <family val="2"/>
      </rPr>
      <t>AE</t>
    </r>
  </si>
  <si>
    <r>
      <t>f</t>
    </r>
    <r>
      <rPr>
        <vertAlign val="subscript"/>
        <sz val="11"/>
        <color theme="1"/>
        <rFont val="Calibri"/>
        <family val="2"/>
      </rPr>
      <t>iCSR</t>
    </r>
  </si>
  <si>
    <r>
      <t>f</t>
    </r>
    <r>
      <rPr>
        <vertAlign val="subscript"/>
        <sz val="11"/>
        <color theme="1"/>
        <rFont val="Calibri"/>
        <family val="2"/>
      </rPr>
      <t>cCHM</t>
    </r>
  </si>
  <si>
    <t>Att.EEXI</t>
  </si>
  <si>
    <t>g-CO2/DWT-mile</t>
  </si>
  <si>
    <t>Reduction rate</t>
  </si>
  <si>
    <t>Req.EEXI</t>
  </si>
  <si>
    <t>Att.EEXI / Req.EEXI</t>
  </si>
  <si>
    <t>Judgement</t>
    <phoneticPr fontId="0"/>
  </si>
  <si>
    <r>
      <t>V</t>
    </r>
    <r>
      <rPr>
        <b/>
        <vertAlign val="subscript"/>
        <sz val="9"/>
        <color theme="1"/>
        <rFont val="Calibri"/>
        <family val="2"/>
      </rPr>
      <t>ref</t>
    </r>
    <r>
      <rPr>
        <b/>
        <sz val="9"/>
        <color theme="1"/>
        <rFont val="Calibri"/>
        <family val="2"/>
      </rPr>
      <t xml:space="preserve"> non-available</t>
    </r>
  </si>
  <si>
    <t>The lower value of the reduction factor is to be applied to the smaller ship size.</t>
  </si>
  <si>
    <t>Capacity</t>
  </si>
  <si>
    <r>
      <t>MCR</t>
    </r>
    <r>
      <rPr>
        <vertAlign val="subscript"/>
        <sz val="11"/>
        <color theme="1"/>
        <rFont val="Calibri"/>
        <family val="2"/>
      </rPr>
      <t>avg</t>
    </r>
  </si>
  <si>
    <r>
      <t>V</t>
    </r>
    <r>
      <rPr>
        <vertAlign val="subscript"/>
        <sz val="11"/>
        <color theme="1"/>
        <rFont val="Calibri"/>
        <family val="2"/>
      </rPr>
      <t>app</t>
    </r>
  </si>
  <si>
    <r>
      <t xml:space="preserve">  V</t>
    </r>
    <r>
      <rPr>
        <vertAlign val="subscript"/>
        <sz val="11"/>
        <color theme="1"/>
        <rFont val="Calibri"/>
        <family val="2"/>
      </rPr>
      <t>avg</t>
    </r>
  </si>
  <si>
    <t xml:space="preserve">  margin</t>
  </si>
  <si>
    <r>
      <t>0-20</t>
    </r>
    <r>
      <rPr>
        <sz val="11"/>
        <color rgb="FFFF0000"/>
        <rFont val="Calibri"/>
        <family val="2"/>
      </rPr>
      <t>*</t>
    </r>
  </si>
  <si>
    <r>
      <rPr>
        <sz val="11"/>
        <color rgb="FFFF0000"/>
        <rFont val="Calibri"/>
        <family val="2"/>
      </rPr>
      <t>*</t>
    </r>
    <r>
      <rPr>
        <sz val="11"/>
        <color theme="1"/>
        <rFont val="Calibri"/>
        <family val="2"/>
      </rPr>
      <t xml:space="preserve"> Reduction factor to be linearly interpolated between the two values dependent upon ship size. </t>
    </r>
  </si>
  <si>
    <t>Iteration 6</t>
    <phoneticPr fontId="0"/>
  </si>
  <si>
    <t>Capacity</t>
    <phoneticPr fontId="0"/>
  </si>
  <si>
    <t>Judgement</t>
    <phoneticPr fontId="0"/>
  </si>
  <si>
    <t>Tanker</t>
    <phoneticPr fontId="0"/>
  </si>
  <si>
    <t>MR</t>
    <phoneticPr fontId="0"/>
  </si>
  <si>
    <t>Formulas</t>
  </si>
  <si>
    <t>Deadweight</t>
  </si>
  <si>
    <t>DWT</t>
  </si>
  <si>
    <t>Ship data</t>
  </si>
  <si>
    <t>100%DWT</t>
  </si>
  <si>
    <t>As DWT</t>
  </si>
  <si>
    <r>
      <t>MCR</t>
    </r>
    <r>
      <rPr>
        <vertAlign val="subscript"/>
        <sz val="11"/>
        <color rgb="FF000000"/>
        <rFont val="Calibri"/>
        <family val="2"/>
      </rPr>
      <t>ME</t>
    </r>
  </si>
  <si>
    <r>
      <t>MCR</t>
    </r>
    <r>
      <rPr>
        <vertAlign val="subscript"/>
        <sz val="11"/>
        <color rgb="FF000000"/>
        <rFont val="Calibri"/>
        <family val="2"/>
      </rPr>
      <t>lim</t>
    </r>
    <r>
      <rPr>
        <sz val="11"/>
        <color rgb="FF000000"/>
        <rFont val="Calibri"/>
        <family val="2"/>
      </rPr>
      <t xml:space="preserve"> (P</t>
    </r>
    <r>
      <rPr>
        <vertAlign val="subscript"/>
        <sz val="11"/>
        <color rgb="FF000000"/>
        <rFont val="Calibri"/>
        <family val="2"/>
      </rPr>
      <t>ME</t>
    </r>
    <r>
      <rPr>
        <sz val="11"/>
        <color rgb="FF000000"/>
        <rFont val="Calibri"/>
        <family val="2"/>
      </rPr>
      <t>/0.75)</t>
    </r>
  </si>
  <si>
    <t>Limit of power if to apply to 75% MCR</t>
  </si>
  <si>
    <r>
      <t>P</t>
    </r>
    <r>
      <rPr>
        <vertAlign val="subscript"/>
        <sz val="11"/>
        <color rgb="FF000000"/>
        <rFont val="Calibri"/>
        <family val="2"/>
      </rPr>
      <t>ME</t>
    </r>
    <r>
      <rPr>
        <sz val="11"/>
        <color rgb="FF000000"/>
        <rFont val="Calibri"/>
        <family val="2"/>
      </rPr>
      <t>/0.75</t>
    </r>
  </si>
  <si>
    <r>
      <t>MCR</t>
    </r>
    <r>
      <rPr>
        <vertAlign val="subscript"/>
        <sz val="11"/>
        <color rgb="FF000000"/>
        <rFont val="Calibri"/>
        <family val="2"/>
      </rPr>
      <t>lim</t>
    </r>
    <r>
      <rPr>
        <sz val="11"/>
        <color rgb="FF000000"/>
        <rFont val="Calibri"/>
        <family val="2"/>
      </rPr>
      <t xml:space="preserve"> (P</t>
    </r>
    <r>
      <rPr>
        <vertAlign val="subscript"/>
        <sz val="11"/>
        <color rgb="FF000000"/>
        <rFont val="Calibri"/>
        <family val="2"/>
      </rPr>
      <t>ME</t>
    </r>
    <r>
      <rPr>
        <sz val="11"/>
        <color rgb="FF000000"/>
        <rFont val="Calibri"/>
        <family val="2"/>
      </rPr>
      <t>/0.87)</t>
    </r>
  </si>
  <si>
    <t>Limit of power if to apply to 87% MCR (as proposed by USA)</t>
  </si>
  <si>
    <r>
      <t>P</t>
    </r>
    <r>
      <rPr>
        <vertAlign val="subscript"/>
        <sz val="11"/>
        <color rgb="FF000000"/>
        <rFont val="Calibri"/>
        <family val="2"/>
      </rPr>
      <t xml:space="preserve">ME </t>
    </r>
    <r>
      <rPr>
        <sz val="11"/>
        <color rgb="FF000000"/>
        <rFont val="Calibri"/>
        <family val="2"/>
      </rPr>
      <t>x 1.15</t>
    </r>
  </si>
  <si>
    <r>
      <t>V</t>
    </r>
    <r>
      <rPr>
        <vertAlign val="subscript"/>
        <sz val="11"/>
        <color rgb="FF000000"/>
        <rFont val="Calibri"/>
        <family val="2"/>
      </rPr>
      <t>ref</t>
    </r>
  </si>
  <si>
    <t xml:space="preserve">Ship data / if not available see next table </t>
  </si>
  <si>
    <r>
      <t>P</t>
    </r>
    <r>
      <rPr>
        <vertAlign val="subscript"/>
        <sz val="11"/>
        <color rgb="FF000000"/>
        <rFont val="Calibri"/>
        <family val="2"/>
      </rPr>
      <t>ME</t>
    </r>
  </si>
  <si>
    <r>
      <t>0.75 x MCR</t>
    </r>
    <r>
      <rPr>
        <vertAlign val="subscript"/>
        <sz val="11"/>
        <color rgb="FF000000"/>
        <rFont val="Calibri"/>
        <family val="2"/>
      </rPr>
      <t>ME</t>
    </r>
  </si>
  <si>
    <r>
      <t>Iteration (0.9999xReq. EEXI/Attained EEXI)</t>
    </r>
    <r>
      <rPr>
        <vertAlign val="superscript"/>
        <sz val="11"/>
        <color rgb="FF000000"/>
        <rFont val="Calibri"/>
        <family val="2"/>
      </rPr>
      <t>3/2</t>
    </r>
  </si>
  <si>
    <r>
      <t>P</t>
    </r>
    <r>
      <rPr>
        <vertAlign val="subscript"/>
        <sz val="11"/>
        <color rgb="FF000000"/>
        <rFont val="Calibri"/>
        <family val="2"/>
      </rPr>
      <t>AE</t>
    </r>
  </si>
  <si>
    <r>
      <t>SFC</t>
    </r>
    <r>
      <rPr>
        <vertAlign val="subscript"/>
        <sz val="11"/>
        <color rgb="FF000000"/>
        <rFont val="Calibri"/>
        <family val="2"/>
      </rPr>
      <t>ME</t>
    </r>
  </si>
  <si>
    <t>Ship data or 190</t>
  </si>
  <si>
    <r>
      <t>SFC</t>
    </r>
    <r>
      <rPr>
        <vertAlign val="subscript"/>
        <sz val="11"/>
        <color rgb="FF000000"/>
        <rFont val="Calibri"/>
        <family val="2"/>
      </rPr>
      <t>AE</t>
    </r>
  </si>
  <si>
    <t>Ship data or 215</t>
  </si>
  <si>
    <r>
      <t>CF</t>
    </r>
    <r>
      <rPr>
        <vertAlign val="subscript"/>
        <sz val="11"/>
        <color rgb="FF000000"/>
        <rFont val="Calibri"/>
        <family val="2"/>
      </rPr>
      <t>ME</t>
    </r>
  </si>
  <si>
    <t>3.206 for MGO or 3.114 for HFO including 0.5% blend</t>
  </si>
  <si>
    <r>
      <t>CF</t>
    </r>
    <r>
      <rPr>
        <vertAlign val="subscript"/>
        <sz val="11"/>
        <color rgb="FF000000"/>
        <rFont val="Calibri"/>
        <family val="2"/>
      </rPr>
      <t>AE</t>
    </r>
  </si>
  <si>
    <r>
      <t>f</t>
    </r>
    <r>
      <rPr>
        <vertAlign val="subscript"/>
        <sz val="11"/>
        <color rgb="FF000000"/>
        <rFont val="Calibri"/>
        <family val="2"/>
      </rPr>
      <t>iCSR</t>
    </r>
  </si>
  <si>
    <t>assumed = 1</t>
  </si>
  <si>
    <r>
      <t>f</t>
    </r>
    <r>
      <rPr>
        <vertAlign val="subscript"/>
        <sz val="11"/>
        <color rgb="FF000000"/>
        <rFont val="Calibri"/>
        <family val="2"/>
      </rPr>
      <t>cCHM</t>
    </r>
  </si>
  <si>
    <t>gCO2/DWT-mile</t>
  </si>
  <si>
    <r>
      <t>(CF</t>
    </r>
    <r>
      <rPr>
        <vertAlign val="subscript"/>
        <sz val="11"/>
        <color rgb="FF000000"/>
        <rFont val="Calibri"/>
        <family val="2"/>
      </rPr>
      <t xml:space="preserve">ME </t>
    </r>
    <r>
      <rPr>
        <sz val="11"/>
        <color rgb="FF000000"/>
        <rFont val="Calibri"/>
        <family val="2"/>
      </rPr>
      <t>x SFC</t>
    </r>
    <r>
      <rPr>
        <vertAlign val="subscript"/>
        <sz val="11"/>
        <color rgb="FF000000"/>
        <rFont val="Calibri"/>
        <family val="2"/>
      </rPr>
      <t>ME</t>
    </r>
    <r>
      <rPr>
        <sz val="11"/>
        <color rgb="FF000000"/>
        <rFont val="Calibri"/>
        <family val="2"/>
      </rPr>
      <t xml:space="preserve"> x P</t>
    </r>
    <r>
      <rPr>
        <vertAlign val="subscript"/>
        <sz val="11"/>
        <color rgb="FF000000"/>
        <rFont val="Calibri"/>
        <family val="2"/>
      </rPr>
      <t>ME</t>
    </r>
    <r>
      <rPr>
        <sz val="11"/>
        <color rgb="FF000000"/>
        <rFont val="Calibri"/>
        <family val="2"/>
      </rPr>
      <t xml:space="preserve"> + CF</t>
    </r>
    <r>
      <rPr>
        <vertAlign val="subscript"/>
        <sz val="11"/>
        <color rgb="FF000000"/>
        <rFont val="Calibri"/>
        <family val="2"/>
      </rPr>
      <t>AE</t>
    </r>
    <r>
      <rPr>
        <sz val="11"/>
        <color rgb="FF000000"/>
        <rFont val="Calibri"/>
        <family val="2"/>
      </rPr>
      <t xml:space="preserve"> x SFC</t>
    </r>
    <r>
      <rPr>
        <vertAlign val="subscript"/>
        <sz val="11"/>
        <color rgb="FF000000"/>
        <rFont val="Calibri"/>
        <family val="2"/>
      </rPr>
      <t>AE</t>
    </r>
    <r>
      <rPr>
        <sz val="11"/>
        <color rgb="FF000000"/>
        <rFont val="Calibri"/>
        <family val="2"/>
      </rPr>
      <t xml:space="preserve"> x P</t>
    </r>
    <r>
      <rPr>
        <vertAlign val="subscript"/>
        <sz val="11"/>
        <color rgb="FF000000"/>
        <rFont val="Calibri"/>
        <family val="2"/>
      </rPr>
      <t>AE</t>
    </r>
    <r>
      <rPr>
        <sz val="11"/>
        <color rgb="FF000000"/>
        <rFont val="Calibri"/>
        <family val="2"/>
      </rPr>
      <t xml:space="preserve"> )/( f</t>
    </r>
    <r>
      <rPr>
        <vertAlign val="subscript"/>
        <sz val="11"/>
        <color rgb="FF000000"/>
        <rFont val="Calibri"/>
        <family val="2"/>
      </rPr>
      <t>iCSR</t>
    </r>
    <r>
      <rPr>
        <sz val="11"/>
        <color rgb="FF000000"/>
        <rFont val="Calibri"/>
        <family val="2"/>
      </rPr>
      <t xml:space="preserve"> x f</t>
    </r>
    <r>
      <rPr>
        <vertAlign val="subscript"/>
        <sz val="11"/>
        <color rgb="FF000000"/>
        <rFont val="Calibri"/>
        <family val="2"/>
      </rPr>
      <t>cCHM</t>
    </r>
    <r>
      <rPr>
        <sz val="11"/>
        <color rgb="FF000000"/>
        <rFont val="Calibri"/>
        <family val="2"/>
      </rPr>
      <t xml:space="preserve"> x DWT x V</t>
    </r>
    <r>
      <rPr>
        <vertAlign val="subscript"/>
        <sz val="11"/>
        <color rgb="FF000000"/>
        <rFont val="Calibri"/>
        <family val="2"/>
      </rPr>
      <t>ref</t>
    </r>
    <r>
      <rPr>
        <sz val="11"/>
        <color rgb="FF000000"/>
        <rFont val="Calibri"/>
        <family val="2"/>
      </rPr>
      <t xml:space="preserve"> )</t>
    </r>
  </si>
  <si>
    <r>
      <t>EIV</t>
    </r>
    <r>
      <rPr>
        <vertAlign val="subscript"/>
        <sz val="11"/>
        <color rgb="FF000000"/>
        <rFont val="Calibri"/>
        <family val="2"/>
      </rPr>
      <t>avg</t>
    </r>
  </si>
  <si>
    <r>
      <t>1218.8 x DWT</t>
    </r>
    <r>
      <rPr>
        <vertAlign val="superscript"/>
        <sz val="11"/>
        <color rgb="FF000000"/>
        <rFont val="Calibri"/>
        <family val="2"/>
      </rPr>
      <t>-0.488</t>
    </r>
  </si>
  <si>
    <t>If &lt; 1 = compliance</t>
  </si>
  <si>
    <t> Tanker</t>
  </si>
  <si>
    <r>
      <rPr>
        <b/>
        <sz val="11"/>
        <color rgb="FFFF0000"/>
        <rFont val="Calibri"/>
        <family val="2"/>
      </rPr>
      <t>V</t>
    </r>
    <r>
      <rPr>
        <b/>
        <vertAlign val="subscript"/>
        <sz val="11"/>
        <color rgb="FFFF0000"/>
        <rFont val="Calibri"/>
        <family val="2"/>
      </rPr>
      <t>ref</t>
    </r>
    <r>
      <rPr>
        <b/>
        <sz val="11"/>
        <color rgb="FFFF0000"/>
        <rFont val="Calibri"/>
        <family val="2"/>
      </rPr>
      <t xml:space="preserve"> not known</t>
    </r>
  </si>
  <si>
    <r>
      <rPr>
        <b/>
        <sz val="11"/>
        <color rgb="FFFF0000"/>
        <rFont val="Calibri"/>
        <family val="2"/>
      </rPr>
      <t>V</t>
    </r>
    <r>
      <rPr>
        <b/>
        <vertAlign val="subscript"/>
        <sz val="11"/>
        <color rgb="FFFF0000"/>
        <rFont val="Calibri"/>
        <family val="2"/>
      </rPr>
      <t>ref</t>
    </r>
    <r>
      <rPr>
        <b/>
        <sz val="11"/>
        <color rgb="FFFF0000"/>
        <rFont val="Calibri"/>
        <family val="2"/>
      </rPr>
      <t xml:space="preserve"> known</t>
    </r>
  </si>
  <si>
    <r>
      <t>V</t>
    </r>
    <r>
      <rPr>
        <vertAlign val="subscript"/>
        <sz val="11"/>
        <color rgb="FF000000"/>
        <rFont val="Calibri"/>
        <family val="2"/>
      </rPr>
      <t>app</t>
    </r>
  </si>
  <si>
    <r>
      <t>V</t>
    </r>
    <r>
      <rPr>
        <vertAlign val="subscript"/>
        <sz val="11"/>
        <color rgb="FF000000"/>
        <rFont val="Calibri"/>
        <family val="2"/>
      </rPr>
      <t>avg</t>
    </r>
  </si>
  <si>
    <t>Tanker/LPG (2)</t>
  </si>
  <si>
    <r>
      <t>MCR</t>
    </r>
    <r>
      <rPr>
        <vertAlign val="subscript"/>
        <sz val="11"/>
        <color rgb="FF000000"/>
        <rFont val="Calibri"/>
        <family val="2"/>
      </rPr>
      <t>avg</t>
    </r>
  </si>
  <si>
    <r>
      <t>Two formulas if MCR</t>
    </r>
    <r>
      <rPr>
        <vertAlign val="subscript"/>
        <sz val="11"/>
        <color rgb="FF000000"/>
        <rFont val="Calibri"/>
        <family val="2"/>
      </rPr>
      <t>ME</t>
    </r>
    <r>
      <rPr>
        <sz val="11"/>
        <color rgb="FF000000"/>
        <rFont val="Calibri"/>
        <family val="2"/>
      </rPr>
      <t xml:space="preserve"> is &gt; or = 10,000 kW or if MCR</t>
    </r>
    <r>
      <rPr>
        <vertAlign val="subscript"/>
        <sz val="11"/>
        <color rgb="FF000000"/>
        <rFont val="Calibri"/>
        <family val="2"/>
      </rPr>
      <t>ME</t>
    </r>
    <r>
      <rPr>
        <sz val="11"/>
        <color rgb="FF000000"/>
        <rFont val="Calibri"/>
        <family val="2"/>
      </rPr>
      <t xml:space="preserve"> is &lt; 10,000 kW</t>
    </r>
  </si>
  <si>
    <t>Knot</t>
  </si>
  <si>
    <r>
      <t>(V</t>
    </r>
    <r>
      <rPr>
        <vertAlign val="subscript"/>
        <sz val="11"/>
        <color rgb="FF000000"/>
        <rFont val="Calibri"/>
        <family val="2"/>
      </rPr>
      <t>avg</t>
    </r>
    <r>
      <rPr>
        <sz val="11"/>
        <color rgb="FF000000"/>
        <rFont val="Calibri"/>
        <family val="2"/>
      </rPr>
      <t xml:space="preserve"> – m) x (MCR</t>
    </r>
    <r>
      <rPr>
        <vertAlign val="subscript"/>
        <sz val="11"/>
        <color rgb="FF000000"/>
        <rFont val="Calibri"/>
        <family val="2"/>
      </rPr>
      <t>ME</t>
    </r>
    <r>
      <rPr>
        <sz val="11"/>
        <color rgb="FF000000"/>
        <rFont val="Calibri"/>
        <family val="2"/>
      </rPr>
      <t>/ MCR</t>
    </r>
    <r>
      <rPr>
        <vertAlign val="subscript"/>
        <sz val="11"/>
        <color rgb="FF000000"/>
        <rFont val="Calibri"/>
        <family val="2"/>
      </rPr>
      <t>avg</t>
    </r>
    <r>
      <rPr>
        <sz val="11"/>
        <color rgb="FF000000"/>
        <rFont val="Calibri"/>
        <family val="2"/>
      </rPr>
      <t>)</t>
    </r>
    <r>
      <rPr>
        <vertAlign val="superscript"/>
        <sz val="11"/>
        <color rgb="FF000000"/>
        <rFont val="Calibri"/>
        <family val="2"/>
      </rPr>
      <t>1/3</t>
    </r>
  </si>
  <si>
    <r>
      <t>8.1358 x DWT</t>
    </r>
    <r>
      <rPr>
        <vertAlign val="superscript"/>
        <sz val="11"/>
        <color rgb="FF000000"/>
        <rFont val="Calibri"/>
        <family val="2"/>
      </rPr>
      <t>0.05383</t>
    </r>
  </si>
  <si>
    <r>
      <t>0.05x V</t>
    </r>
    <r>
      <rPr>
        <vertAlign val="subscript"/>
        <sz val="11"/>
        <color rgb="FF000000"/>
        <rFont val="Calibri"/>
        <family val="2"/>
      </rPr>
      <t>app</t>
    </r>
    <r>
      <rPr>
        <sz val="11"/>
        <color rgb="FF000000"/>
        <rFont val="Calibri"/>
        <family val="2"/>
      </rPr>
      <t xml:space="preserve"> or 1, whichever is lower</t>
    </r>
  </si>
  <si>
    <t xml:space="preserve">Calculated </t>
  </si>
  <si>
    <t>tCO2/t-fuel</t>
  </si>
  <si>
    <t>Assume 1</t>
  </si>
  <si>
    <t>Assumed 1</t>
  </si>
  <si>
    <t>Some instruction to use the “EEXI calculator”:</t>
  </si>
  <si>
    <r>
      <t>·</t>
    </r>
    <r>
      <rPr>
        <sz val="7"/>
        <rFont val="Times New Roman"/>
        <family val="1"/>
      </rPr>
      <t xml:space="preserve">       </t>
    </r>
    <r>
      <rPr>
        <sz val="11"/>
        <rFont val="Arial"/>
        <family val="2"/>
      </rPr>
      <t>You will see two tables for each ship type. The upper table will provide you with the results if have the original V</t>
    </r>
    <r>
      <rPr>
        <vertAlign val="subscript"/>
        <sz val="11"/>
        <rFont val="Arial"/>
        <family val="2"/>
      </rPr>
      <t>ref.</t>
    </r>
    <r>
      <rPr>
        <sz val="11"/>
        <rFont val="Arial"/>
        <family val="2"/>
      </rPr>
      <t xml:space="preserve"> of the ship. The lower table is for the case you do not have the original V</t>
    </r>
    <r>
      <rPr>
        <vertAlign val="subscript"/>
        <sz val="11"/>
        <rFont val="Arial"/>
        <family val="2"/>
      </rPr>
      <t>ref</t>
    </r>
    <r>
      <rPr>
        <sz val="11"/>
        <rFont val="Arial"/>
        <family val="2"/>
      </rPr>
      <t>. (which may be the case for pre-EEDI ships), then approximated ship speed V</t>
    </r>
    <r>
      <rPr>
        <vertAlign val="subscript"/>
        <sz val="11"/>
        <rFont val="Arial"/>
        <family val="2"/>
      </rPr>
      <t>app</t>
    </r>
    <r>
      <rPr>
        <sz val="11"/>
        <rFont val="Arial"/>
        <family val="2"/>
      </rPr>
      <t xml:space="preserve"> is automatically calculated in the second table (cell D38).</t>
    </r>
  </si>
  <si>
    <r>
      <t>·</t>
    </r>
    <r>
      <rPr>
        <sz val="7"/>
        <rFont val="Times New Roman"/>
        <family val="1"/>
      </rPr>
      <t xml:space="preserve">       </t>
    </r>
    <r>
      <rPr>
        <sz val="11"/>
        <rFont val="Arial"/>
        <family val="2"/>
      </rPr>
      <t>By introducing your data, you can see your current attained EEXI in D23 (or D49).</t>
    </r>
  </si>
  <si>
    <r>
      <t>·</t>
    </r>
    <r>
      <rPr>
        <sz val="7"/>
        <rFont val="Times New Roman"/>
        <family val="1"/>
      </rPr>
      <t xml:space="preserve">       </t>
    </r>
    <r>
      <rPr>
        <sz val="11"/>
        <rFont val="Arial"/>
        <family val="2"/>
      </rPr>
      <t>If the attained EEXI does not satisfy the required EEXI, please see lines E to J, where iteration of the EEXI calculation with EPL are provided.</t>
    </r>
  </si>
  <si>
    <r>
      <t>·</t>
    </r>
    <r>
      <rPr>
        <sz val="7"/>
        <rFont val="Times New Roman"/>
        <family val="1"/>
      </rPr>
      <t xml:space="preserve">       </t>
    </r>
    <r>
      <rPr>
        <sz val="11"/>
        <rFont val="Arial"/>
        <family val="2"/>
      </rPr>
      <t xml:space="preserve">First, note and choose the sheet corresponding to ship type you wish to check.  Nopte that for VLCC is a separate work sheet becasue of different reduction factor than for other tankers. </t>
    </r>
  </si>
  <si>
    <r>
      <t>·</t>
    </r>
    <r>
      <rPr>
        <sz val="7"/>
        <rFont val="Times New Roman"/>
        <family val="1"/>
      </rPr>
      <t xml:space="preserve">       </t>
    </r>
    <r>
      <rPr>
        <sz val="11"/>
        <rFont val="Arial"/>
        <family val="2"/>
      </rPr>
      <t xml:space="preserve">"Tanker" category applies to oil tankers (excelpt VLCC) and Chemical Tankers. </t>
    </r>
  </si>
  <si>
    <r>
      <t>·</t>
    </r>
    <r>
      <rPr>
        <sz val="7"/>
        <rFont val="Times New Roman"/>
        <family val="1"/>
      </rPr>
      <t xml:space="preserve">       </t>
    </r>
    <r>
      <rPr>
        <sz val="11"/>
        <rFont val="Arial"/>
        <family val="2"/>
      </rPr>
      <t>For example, for the VLCC tanker default case (when the Vref. Is known), compliance will be met with a Power Limit set at 17,359 kW, corresponding to a V</t>
    </r>
    <r>
      <rPr>
        <vertAlign val="subscript"/>
        <sz val="11"/>
        <rFont val="Arial"/>
        <family val="2"/>
      </rPr>
      <t>ref</t>
    </r>
    <r>
      <rPr>
        <sz val="11"/>
        <rFont val="Arial"/>
        <family val="2"/>
      </rPr>
      <t xml:space="preserve"> reduction from 15.80 knots to 14.06 knots.</t>
    </r>
  </si>
  <si>
    <r>
      <t>·</t>
    </r>
    <r>
      <rPr>
        <sz val="7"/>
        <rFont val="Times New Roman"/>
        <family val="1"/>
      </rPr>
      <t xml:space="preserve">       </t>
    </r>
    <r>
      <rPr>
        <sz val="11"/>
        <rFont val="Arial"/>
        <family val="2"/>
      </rPr>
      <t xml:space="preserve">Set your ship data in the </t>
    </r>
    <r>
      <rPr>
        <b/>
        <sz val="11"/>
        <color theme="3"/>
        <rFont val="Arial"/>
        <family val="2"/>
      </rPr>
      <t>blue-coloured cells</t>
    </r>
    <r>
      <rPr>
        <sz val="11"/>
        <rFont val="Arial"/>
        <family val="2"/>
      </rPr>
      <t xml:space="preserve"> in D line (D9, 11, 14, 17-22). As a default, there is tentatively a model-case data in these cells which you should replace them with your data.</t>
    </r>
  </si>
  <si>
    <r>
      <t>EIV</t>
    </r>
    <r>
      <rPr>
        <vertAlign val="subscript"/>
        <sz val="11"/>
        <color rgb="FF000000"/>
        <rFont val="Calibri"/>
        <family val="2"/>
      </rPr>
      <t>avg</t>
    </r>
    <r>
      <rPr>
        <sz val="11"/>
        <color rgb="FF000000"/>
        <rFont val="Calibri"/>
        <family val="2"/>
      </rPr>
      <t xml:space="preserve"> x (1-0.20) [(1-0.15) for VLCCs]</t>
    </r>
  </si>
  <si>
    <r>
      <t>Note that for the example on "Chemical Tanker", it is included the correction factor f</t>
    </r>
    <r>
      <rPr>
        <vertAlign val="subscript"/>
        <sz val="11"/>
        <rFont val="Arial"/>
        <family val="2"/>
      </rPr>
      <t xml:space="preserve">cCHEM </t>
    </r>
    <r>
      <rPr>
        <sz val="11"/>
        <rFont val="Arial"/>
        <family val="2"/>
      </rPr>
      <t xml:space="preserve">= 1.063. For "oil tankers", this factor is = 1.00.   </t>
    </r>
  </si>
  <si>
    <t>Note that the auxiliary power is calculated as according to the suggested regulation. One may chose to use the actual value.</t>
  </si>
  <si>
    <t>Bulker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</si>
</sst>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_ "/>
    <numFmt numFmtId="165" formatCode="#,##0.00_ "/>
    <numFmt numFmtId="166" formatCode="#,##0.0000_ "/>
    <numFmt numFmtId="167" formatCode="#,##0.000_ "/>
    <numFmt numFmtId="168" formatCode="#,##0.00000_ "/>
    <numFmt numFmtId="169" formatCode="#,##0.0_ "/>
    <numFmt numFmtId="170" formatCode="0.000_ "/>
    <numFmt numFmtId="171" formatCode="0.00_ "/>
  </numFmts>
  <fonts count="2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  <charset val="128"/>
      <scheme val="minor"/>
    </font>
    <font>
      <vertAlign val="subscript"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b/>
      <vertAlign val="subscript"/>
      <sz val="9"/>
      <color theme="1"/>
      <name val="Calibri"/>
      <family val="2"/>
    </font>
    <font>
      <sz val="11"/>
      <color rgb="FFFF0000"/>
      <name val="Calibri"/>
      <family val="2"/>
    </font>
    <font>
      <sz val="10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vertAlign val="subscript"/>
      <sz val="11"/>
      <color rgb="FF000000"/>
      <name val="Calibri"/>
      <family val="2"/>
    </font>
    <font>
      <vertAlign val="superscript"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vertAlign val="subscript"/>
      <sz val="11"/>
      <color rgb="FFFF0000"/>
      <name val="Calibri"/>
      <family val="2"/>
    </font>
    <font>
      <sz val="11"/>
      <name val="Arial"/>
      <family val="2"/>
    </font>
    <font>
      <sz val="11"/>
      <name val="Symbol"/>
      <family val="1"/>
      <charset val="2"/>
    </font>
    <font>
      <sz val="7"/>
      <name val="Times New Roman"/>
      <family val="1"/>
    </font>
    <font>
      <vertAlign val="subscript"/>
      <sz val="11"/>
      <name val="Arial"/>
      <family val="2"/>
    </font>
    <font>
      <b/>
      <sz val="11"/>
      <color theme="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2" fillId="0" borderId="0" xfId="0" applyFont="1" applyAlignment="1">
      <alignment vertical="center"/>
    </xf>
    <xf numFmtId="0" fontId="2" fillId="0" borderId="0" xfId="1" applyFont="1"/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/>
    </xf>
    <xf numFmtId="165" fontId="2" fillId="2" borderId="1" xfId="1" applyNumberFormat="1" applyFont="1" applyFill="1" applyBorder="1" applyAlignment="1">
      <alignment vertical="center"/>
    </xf>
    <xf numFmtId="166" fontId="2" fillId="2" borderId="1" xfId="1" applyNumberFormat="1" applyFont="1" applyFill="1" applyBorder="1" applyAlignment="1">
      <alignment vertical="center"/>
    </xf>
    <xf numFmtId="167" fontId="2" fillId="2" borderId="1" xfId="1" applyNumberFormat="1" applyFont="1" applyFill="1" applyBorder="1" applyAlignment="1">
      <alignment vertical="center"/>
    </xf>
    <xf numFmtId="168" fontId="2" fillId="2" borderId="1" xfId="1" applyNumberFormat="1" applyFont="1" applyFill="1" applyBorder="1" applyAlignment="1">
      <alignment vertical="center"/>
    </xf>
    <xf numFmtId="164" fontId="6" fillId="0" borderId="1" xfId="1" applyNumberFormat="1" applyFont="1" applyBorder="1" applyAlignment="1">
      <alignment vertical="center"/>
    </xf>
    <xf numFmtId="164" fontId="2" fillId="0" borderId="1" xfId="1" applyNumberFormat="1" applyFont="1" applyBorder="1" applyAlignment="1">
      <alignment vertical="center"/>
    </xf>
    <xf numFmtId="164" fontId="7" fillId="3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2" fillId="4" borderId="1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164" fontId="2" fillId="0" borderId="1" xfId="1" applyNumberFormat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vertical="center"/>
    </xf>
    <xf numFmtId="164" fontId="2" fillId="4" borderId="1" xfId="1" applyNumberFormat="1" applyFont="1" applyFill="1" applyBorder="1" applyAlignment="1">
      <alignment vertical="center"/>
    </xf>
    <xf numFmtId="164" fontId="2" fillId="2" borderId="1" xfId="1" applyNumberFormat="1" applyFont="1" applyFill="1" applyBorder="1" applyAlignment="1">
      <alignment horizontal="right" vertical="center"/>
    </xf>
    <xf numFmtId="164" fontId="2" fillId="2" borderId="1" xfId="1" applyNumberFormat="1" applyFont="1" applyFill="1" applyBorder="1" applyAlignment="1">
      <alignment horizontal="center" vertical="center"/>
    </xf>
    <xf numFmtId="169" fontId="2" fillId="0" borderId="1" xfId="1" applyNumberFormat="1" applyFont="1" applyBorder="1" applyAlignment="1">
      <alignment vertical="center"/>
    </xf>
    <xf numFmtId="169" fontId="2" fillId="0" borderId="1" xfId="1" applyNumberFormat="1" applyFont="1" applyBorder="1" applyAlignment="1">
      <alignment horizontal="center" vertical="center"/>
    </xf>
    <xf numFmtId="165" fontId="2" fillId="4" borderId="1" xfId="1" applyNumberFormat="1" applyFont="1" applyFill="1" applyBorder="1" applyAlignment="1">
      <alignment vertical="center"/>
    </xf>
    <xf numFmtId="169" fontId="2" fillId="4" borderId="1" xfId="1" applyNumberFormat="1" applyFont="1" applyFill="1" applyBorder="1" applyAlignment="1">
      <alignment vertical="center"/>
    </xf>
    <xf numFmtId="169" fontId="2" fillId="2" borderId="1" xfId="1" applyNumberFormat="1" applyFont="1" applyFill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horizontal="center" vertical="center"/>
    </xf>
    <xf numFmtId="167" fontId="2" fillId="4" borderId="1" xfId="1" applyNumberFormat="1" applyFont="1" applyFill="1" applyBorder="1" applyAlignment="1">
      <alignment vertical="center"/>
    </xf>
    <xf numFmtId="170" fontId="2" fillId="2" borderId="1" xfId="1" applyNumberFormat="1" applyFont="1" applyFill="1" applyBorder="1" applyAlignment="1">
      <alignment vertical="center"/>
    </xf>
    <xf numFmtId="170" fontId="2" fillId="4" borderId="1" xfId="1" applyNumberFormat="1" applyFont="1" applyFill="1" applyBorder="1" applyAlignment="1">
      <alignment vertical="center"/>
    </xf>
    <xf numFmtId="164" fontId="2" fillId="5" borderId="1" xfId="1" applyNumberFormat="1" applyFont="1" applyFill="1" applyBorder="1" applyAlignment="1">
      <alignment horizontal="center" vertical="center"/>
    </xf>
    <xf numFmtId="171" fontId="2" fillId="2" borderId="1" xfId="1" applyNumberFormat="1" applyFont="1" applyFill="1" applyBorder="1" applyAlignment="1">
      <alignment vertical="center"/>
    </xf>
    <xf numFmtId="171" fontId="2" fillId="2" borderId="1" xfId="1" applyNumberFormat="1" applyFont="1" applyFill="1" applyBorder="1" applyAlignment="1">
      <alignment horizontal="right" vertical="center"/>
    </xf>
    <xf numFmtId="171" fontId="2" fillId="2" borderId="1" xfId="1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/>
    </xf>
    <xf numFmtId="0" fontId="15" fillId="0" borderId="3" xfId="0" applyFont="1" applyBorder="1" applyAlignment="1">
      <alignment vertical="center"/>
    </xf>
    <xf numFmtId="0" fontId="0" fillId="0" borderId="0" xfId="0" applyAlignment="1">
      <alignment wrapText="1"/>
    </xf>
    <xf numFmtId="0" fontId="17" fillId="0" borderId="0" xfId="0" applyFont="1" applyAlignment="1">
      <alignment horizontal="justify" vertical="center" wrapText="1"/>
    </xf>
    <xf numFmtId="0" fontId="18" fillId="0" borderId="0" xfId="0" applyFont="1" applyAlignment="1">
      <alignment horizontal="justify" vertical="center" wrapText="1"/>
    </xf>
    <xf numFmtId="164" fontId="2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164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</cellXfs>
  <cellStyles count="2">
    <cellStyle name="Normal" xfId="0" builtinId="0"/>
    <cellStyle name="標準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54"/>
  <sheetViews>
    <sheetView tabSelected="1" topLeftCell="A25" workbookViewId="0">
      <selection activeCell="M45" sqref="M45"/>
    </sheetView>
  </sheetViews>
  <sheetFormatPr defaultColWidth="9" defaultRowHeight="15"/>
  <cols>
    <col min="1" max="1" width="9" style="1"/>
    <col min="2" max="2" width="16.28515625" style="1" customWidth="1"/>
    <col min="3" max="3" width="14.5703125" style="1" customWidth="1"/>
    <col min="4" max="10" width="12.5703125" style="1" customWidth="1"/>
    <col min="11" max="11" width="9" style="1"/>
    <col min="12" max="12" width="28" style="1" customWidth="1"/>
    <col min="13" max="13" width="36.140625" style="1" customWidth="1"/>
    <col min="14" max="14" width="15.42578125" style="1" customWidth="1"/>
    <col min="15" max="16384" width="9" style="1"/>
  </cols>
  <sheetData>
    <row r="2" spans="2:14" ht="18.75">
      <c r="B2" s="47" t="s">
        <v>0</v>
      </c>
      <c r="C2" s="48"/>
      <c r="D2" s="48"/>
      <c r="E2" s="48"/>
      <c r="H2" s="2"/>
      <c r="I2" s="2"/>
      <c r="J2" s="2"/>
      <c r="L2" s="3" t="s">
        <v>1</v>
      </c>
    </row>
    <row r="3" spans="2:14" ht="30">
      <c r="B3" s="49" t="s">
        <v>2</v>
      </c>
      <c r="C3" s="50"/>
      <c r="D3" s="49" t="s">
        <v>3</v>
      </c>
      <c r="E3" s="50"/>
      <c r="H3" s="2"/>
      <c r="I3" s="2"/>
      <c r="J3" s="2"/>
      <c r="L3" s="4" t="s">
        <v>4</v>
      </c>
      <c r="M3" s="4" t="s">
        <v>5</v>
      </c>
      <c r="N3" s="4" t="s">
        <v>6</v>
      </c>
    </row>
    <row r="4" spans="2:14">
      <c r="B4" s="5" t="s">
        <v>7</v>
      </c>
      <c r="C4" s="6">
        <v>1218.8</v>
      </c>
      <c r="D4" s="5" t="s">
        <v>8</v>
      </c>
      <c r="E4" s="7">
        <v>8.1357999999999997</v>
      </c>
      <c r="H4" s="2"/>
      <c r="I4" s="2"/>
      <c r="J4" s="2"/>
      <c r="L4" s="51" t="s">
        <v>23</v>
      </c>
      <c r="M4" s="4" t="s">
        <v>24</v>
      </c>
      <c r="N4" s="4">
        <v>20</v>
      </c>
    </row>
    <row r="5" spans="2:14" ht="30">
      <c r="B5" s="5" t="s">
        <v>9</v>
      </c>
      <c r="C5" s="8">
        <v>0.48799999999999999</v>
      </c>
      <c r="D5" s="5" t="s">
        <v>10</v>
      </c>
      <c r="E5" s="9">
        <v>5.3830000000000003E-2</v>
      </c>
      <c r="L5" s="51"/>
      <c r="M5" s="4" t="s">
        <v>26</v>
      </c>
      <c r="N5" s="4" t="s">
        <v>58</v>
      </c>
    </row>
    <row r="6" spans="2:14">
      <c r="L6" s="1" t="s">
        <v>59</v>
      </c>
    </row>
    <row r="7" spans="2:14">
      <c r="B7" s="10" t="s">
        <v>63</v>
      </c>
      <c r="C7" s="10" t="s">
        <v>64</v>
      </c>
      <c r="D7" s="5" t="s">
        <v>11</v>
      </c>
      <c r="E7" s="5" t="s">
        <v>12</v>
      </c>
      <c r="F7" s="5" t="s">
        <v>12</v>
      </c>
      <c r="G7" s="5" t="s">
        <v>12</v>
      </c>
      <c r="H7" s="5" t="s">
        <v>12</v>
      </c>
      <c r="I7" s="5" t="s">
        <v>12</v>
      </c>
      <c r="J7" s="5" t="s">
        <v>12</v>
      </c>
      <c r="L7" s="1" t="s">
        <v>52</v>
      </c>
    </row>
    <row r="8" spans="2:14">
      <c r="B8" s="11"/>
      <c r="C8" s="5" t="s">
        <v>13</v>
      </c>
      <c r="D8" s="12" t="s">
        <v>14</v>
      </c>
      <c r="E8" s="5" t="s">
        <v>15</v>
      </c>
      <c r="F8" s="5" t="s">
        <v>16</v>
      </c>
      <c r="G8" s="5" t="s">
        <v>17</v>
      </c>
      <c r="H8" s="5" t="s">
        <v>18</v>
      </c>
      <c r="I8" s="5" t="s">
        <v>19</v>
      </c>
      <c r="J8" s="5" t="s">
        <v>60</v>
      </c>
    </row>
    <row r="9" spans="2:14">
      <c r="B9" s="13" t="s">
        <v>21</v>
      </c>
      <c r="C9" s="14" t="s">
        <v>22</v>
      </c>
      <c r="D9" s="15">
        <v>115501.8</v>
      </c>
      <c r="E9" s="16">
        <f>D9</f>
        <v>115501.8</v>
      </c>
      <c r="F9" s="16">
        <f t="shared" ref="F9:J11" si="0">E9</f>
        <v>115501.8</v>
      </c>
      <c r="G9" s="16">
        <f t="shared" si="0"/>
        <v>115501.8</v>
      </c>
      <c r="H9" s="16">
        <f t="shared" si="0"/>
        <v>115501.8</v>
      </c>
      <c r="I9" s="16">
        <f t="shared" si="0"/>
        <v>115501.8</v>
      </c>
      <c r="J9" s="16">
        <f t="shared" si="0"/>
        <v>115501.8</v>
      </c>
    </row>
    <row r="10" spans="2:14">
      <c r="B10" s="11" t="s">
        <v>61</v>
      </c>
      <c r="C10" s="17" t="s">
        <v>25</v>
      </c>
      <c r="D10" s="18">
        <f>D9</f>
        <v>115501.8</v>
      </c>
      <c r="E10" s="18">
        <f>D10</f>
        <v>115501.8</v>
      </c>
      <c r="F10" s="18">
        <f t="shared" si="0"/>
        <v>115501.8</v>
      </c>
      <c r="G10" s="18">
        <f t="shared" si="0"/>
        <v>115501.8</v>
      </c>
      <c r="H10" s="18">
        <f t="shared" si="0"/>
        <v>115501.8</v>
      </c>
      <c r="I10" s="18">
        <f t="shared" si="0"/>
        <v>115501.8</v>
      </c>
      <c r="J10" s="18">
        <f t="shared" si="0"/>
        <v>115501.8</v>
      </c>
    </row>
    <row r="11" spans="2:14" ht="18">
      <c r="B11" s="11" t="s">
        <v>27</v>
      </c>
      <c r="C11" s="5" t="s">
        <v>28</v>
      </c>
      <c r="D11" s="19">
        <v>13560</v>
      </c>
      <c r="E11" s="20">
        <f>D11</f>
        <v>13560</v>
      </c>
      <c r="F11" s="20">
        <f t="shared" si="0"/>
        <v>13560</v>
      </c>
      <c r="G11" s="20">
        <f t="shared" si="0"/>
        <v>13560</v>
      </c>
      <c r="H11" s="20">
        <f t="shared" si="0"/>
        <v>13560</v>
      </c>
      <c r="I11" s="20">
        <f t="shared" si="0"/>
        <v>13560</v>
      </c>
      <c r="J11" s="20">
        <f t="shared" si="0"/>
        <v>13560</v>
      </c>
    </row>
    <row r="12" spans="2:14" ht="18">
      <c r="B12" s="11" t="s">
        <v>29</v>
      </c>
      <c r="C12" s="5" t="s">
        <v>28</v>
      </c>
      <c r="D12" s="21" t="s">
        <v>30</v>
      </c>
      <c r="E12" s="18" t="e">
        <f>E15/0.75</f>
        <v>#DIV/0!</v>
      </c>
      <c r="F12" s="18" t="e">
        <f t="shared" ref="F12:J12" si="1">F15/0.75</f>
        <v>#DIV/0!</v>
      </c>
      <c r="G12" s="18" t="e">
        <f t="shared" si="1"/>
        <v>#DIV/0!</v>
      </c>
      <c r="H12" s="18" t="e">
        <f t="shared" si="1"/>
        <v>#DIV/0!</v>
      </c>
      <c r="I12" s="18" t="e">
        <f t="shared" si="1"/>
        <v>#DIV/0!</v>
      </c>
      <c r="J12" s="18" t="e">
        <f t="shared" si="1"/>
        <v>#DIV/0!</v>
      </c>
    </row>
    <row r="13" spans="2:14" ht="18">
      <c r="B13" s="11" t="s">
        <v>31</v>
      </c>
      <c r="C13" s="5" t="s">
        <v>32</v>
      </c>
      <c r="D13" s="21" t="s">
        <v>30</v>
      </c>
      <c r="E13" s="18" t="e">
        <f>E15*1.15</f>
        <v>#DIV/0!</v>
      </c>
      <c r="F13" s="18" t="e">
        <f t="shared" ref="F13:J13" si="2">F15*1.15</f>
        <v>#DIV/0!</v>
      </c>
      <c r="G13" s="18" t="e">
        <f t="shared" si="2"/>
        <v>#DIV/0!</v>
      </c>
      <c r="H13" s="18" t="e">
        <f t="shared" si="2"/>
        <v>#DIV/0!</v>
      </c>
      <c r="I13" s="18" t="e">
        <f t="shared" si="2"/>
        <v>#DIV/0!</v>
      </c>
      <c r="J13" s="18" t="e">
        <f t="shared" si="2"/>
        <v>#DIV/0!</v>
      </c>
    </row>
    <row r="14" spans="2:14" ht="18">
      <c r="B14" s="22" t="s">
        <v>33</v>
      </c>
      <c r="C14" s="23" t="s">
        <v>34</v>
      </c>
      <c r="D14" s="24"/>
      <c r="E14" s="6" t="e">
        <f>D14*(E15/D15)^(1/3)</f>
        <v>#DIV/0!</v>
      </c>
      <c r="F14" s="6" t="e">
        <f t="shared" ref="F14:J14" si="3">E14*(F15/E15)^(1/3)</f>
        <v>#DIV/0!</v>
      </c>
      <c r="G14" s="6" t="e">
        <f t="shared" si="3"/>
        <v>#DIV/0!</v>
      </c>
      <c r="H14" s="6" t="e">
        <f t="shared" si="3"/>
        <v>#DIV/0!</v>
      </c>
      <c r="I14" s="6" t="e">
        <f t="shared" si="3"/>
        <v>#DIV/0!</v>
      </c>
      <c r="J14" s="6" t="e">
        <f t="shared" si="3"/>
        <v>#DIV/0!</v>
      </c>
    </row>
    <row r="15" spans="2:14" ht="18" customHeight="1">
      <c r="B15" s="11" t="s">
        <v>35</v>
      </c>
      <c r="C15" s="5" t="s">
        <v>28</v>
      </c>
      <c r="D15" s="18">
        <f>0.75*D11</f>
        <v>10170</v>
      </c>
      <c r="E15" s="18" t="e">
        <f>(0.9999*1/D27)^(3/2)*D15</f>
        <v>#DIV/0!</v>
      </c>
      <c r="F15" s="18" t="e">
        <f t="shared" ref="F15:J15" si="4">(0.9999*1/E27)^(3/2)*E15</f>
        <v>#DIV/0!</v>
      </c>
      <c r="G15" s="18" t="e">
        <f t="shared" si="4"/>
        <v>#DIV/0!</v>
      </c>
      <c r="H15" s="18" t="e">
        <f t="shared" si="4"/>
        <v>#DIV/0!</v>
      </c>
      <c r="I15" s="18" t="e">
        <f t="shared" si="4"/>
        <v>#DIV/0!</v>
      </c>
      <c r="J15" s="18" t="e">
        <f t="shared" si="4"/>
        <v>#DIV/0!</v>
      </c>
    </row>
    <row r="16" spans="2:14" ht="18">
      <c r="B16" s="11" t="s">
        <v>36</v>
      </c>
      <c r="C16" s="5" t="s">
        <v>28</v>
      </c>
      <c r="D16" s="18">
        <f>IF(D11&gt;=10000,0.025*D11+250,0.05*D11)</f>
        <v>589</v>
      </c>
      <c r="E16" s="18">
        <f t="shared" ref="E16:J22" si="5">D16</f>
        <v>589</v>
      </c>
      <c r="F16" s="18">
        <f t="shared" si="5"/>
        <v>589</v>
      </c>
      <c r="G16" s="18">
        <f t="shared" si="5"/>
        <v>589</v>
      </c>
      <c r="H16" s="18">
        <f t="shared" si="5"/>
        <v>589</v>
      </c>
      <c r="I16" s="18">
        <f t="shared" si="5"/>
        <v>589</v>
      </c>
      <c r="J16" s="18">
        <f t="shared" si="5"/>
        <v>589</v>
      </c>
    </row>
    <row r="17" spans="2:10" ht="18">
      <c r="B17" s="22" t="s">
        <v>37</v>
      </c>
      <c r="C17" s="23" t="s">
        <v>38</v>
      </c>
      <c r="D17" s="25">
        <v>178.9</v>
      </c>
      <c r="E17" s="26">
        <f t="shared" si="5"/>
        <v>178.9</v>
      </c>
      <c r="F17" s="26">
        <f t="shared" si="5"/>
        <v>178.9</v>
      </c>
      <c r="G17" s="26">
        <f t="shared" si="5"/>
        <v>178.9</v>
      </c>
      <c r="H17" s="26">
        <f t="shared" si="5"/>
        <v>178.9</v>
      </c>
      <c r="I17" s="26">
        <f t="shared" si="5"/>
        <v>178.9</v>
      </c>
      <c r="J17" s="26">
        <f t="shared" si="5"/>
        <v>178.9</v>
      </c>
    </row>
    <row r="18" spans="2:10" ht="18">
      <c r="B18" s="22" t="s">
        <v>39</v>
      </c>
      <c r="C18" s="23" t="s">
        <v>38</v>
      </c>
      <c r="D18" s="25">
        <v>207.7</v>
      </c>
      <c r="E18" s="26">
        <f t="shared" si="5"/>
        <v>207.7</v>
      </c>
      <c r="F18" s="26">
        <f t="shared" si="5"/>
        <v>207.7</v>
      </c>
      <c r="G18" s="26">
        <f t="shared" si="5"/>
        <v>207.7</v>
      </c>
      <c r="H18" s="26">
        <f t="shared" si="5"/>
        <v>207.7</v>
      </c>
      <c r="I18" s="26">
        <f t="shared" si="5"/>
        <v>207.7</v>
      </c>
      <c r="J18" s="26">
        <f t="shared" si="5"/>
        <v>207.7</v>
      </c>
    </row>
    <row r="19" spans="2:10" ht="18">
      <c r="B19" s="27" t="s">
        <v>40</v>
      </c>
      <c r="C19" s="28" t="s">
        <v>41</v>
      </c>
      <c r="D19" s="29">
        <v>3.206</v>
      </c>
      <c r="E19" s="8">
        <f t="shared" si="5"/>
        <v>3.206</v>
      </c>
      <c r="F19" s="8">
        <f t="shared" si="5"/>
        <v>3.206</v>
      </c>
      <c r="G19" s="8">
        <f t="shared" si="5"/>
        <v>3.206</v>
      </c>
      <c r="H19" s="8">
        <f t="shared" si="5"/>
        <v>3.206</v>
      </c>
      <c r="I19" s="8">
        <f t="shared" si="5"/>
        <v>3.206</v>
      </c>
      <c r="J19" s="8">
        <f t="shared" si="5"/>
        <v>3.206</v>
      </c>
    </row>
    <row r="20" spans="2:10" ht="18">
      <c r="B20" s="27" t="s">
        <v>42</v>
      </c>
      <c r="C20" s="28" t="s">
        <v>41</v>
      </c>
      <c r="D20" s="29">
        <v>3.206</v>
      </c>
      <c r="E20" s="8">
        <f t="shared" si="5"/>
        <v>3.206</v>
      </c>
      <c r="F20" s="8">
        <f t="shared" si="5"/>
        <v>3.206</v>
      </c>
      <c r="G20" s="8">
        <f t="shared" si="5"/>
        <v>3.206</v>
      </c>
      <c r="H20" s="8">
        <f t="shared" si="5"/>
        <v>3.206</v>
      </c>
      <c r="I20" s="8">
        <f t="shared" si="5"/>
        <v>3.206</v>
      </c>
      <c r="J20" s="8">
        <f t="shared" si="5"/>
        <v>3.206</v>
      </c>
    </row>
    <row r="21" spans="2:10" ht="18">
      <c r="B21" s="27" t="s">
        <v>43</v>
      </c>
      <c r="C21" s="28"/>
      <c r="D21" s="29">
        <v>1</v>
      </c>
      <c r="E21" s="8">
        <f t="shared" si="5"/>
        <v>1</v>
      </c>
      <c r="F21" s="8">
        <f t="shared" si="5"/>
        <v>1</v>
      </c>
      <c r="G21" s="8">
        <f t="shared" si="5"/>
        <v>1</v>
      </c>
      <c r="H21" s="8">
        <f t="shared" si="5"/>
        <v>1</v>
      </c>
      <c r="I21" s="8">
        <f t="shared" si="5"/>
        <v>1</v>
      </c>
      <c r="J21" s="8">
        <f t="shared" si="5"/>
        <v>1</v>
      </c>
    </row>
    <row r="22" spans="2:10" ht="18">
      <c r="B22" s="27" t="s">
        <v>44</v>
      </c>
      <c r="C22" s="28"/>
      <c r="D22" s="29">
        <v>1</v>
      </c>
      <c r="E22" s="8">
        <f t="shared" si="5"/>
        <v>1</v>
      </c>
      <c r="F22" s="8">
        <f t="shared" si="5"/>
        <v>1</v>
      </c>
      <c r="G22" s="8">
        <f t="shared" si="5"/>
        <v>1</v>
      </c>
      <c r="H22" s="8">
        <f t="shared" si="5"/>
        <v>1</v>
      </c>
      <c r="I22" s="8">
        <f t="shared" si="5"/>
        <v>1</v>
      </c>
      <c r="J22" s="8">
        <f t="shared" si="5"/>
        <v>1</v>
      </c>
    </row>
    <row r="23" spans="2:10">
      <c r="B23" s="27" t="s">
        <v>45</v>
      </c>
      <c r="C23" s="28" t="s">
        <v>46</v>
      </c>
      <c r="D23" s="30" t="e">
        <f>(D19*D17*D15+D20*D18*D16)/(D21*D22*D10*D14)</f>
        <v>#DIV/0!</v>
      </c>
      <c r="E23" s="30" t="e">
        <f>(E19*E17*E15+E20*E18*E16)/(E21*E22*E10*E14)</f>
        <v>#DIV/0!</v>
      </c>
      <c r="F23" s="30" t="e">
        <f>(F19*F17*F15+F20*F18*F16)/(F21*F22*F10*F14)</f>
        <v>#DIV/0!</v>
      </c>
      <c r="G23" s="30" t="e">
        <f t="shared" ref="G23:J23" si="6">(G19*G17*G15+G20*G18*G16)/(G21*G22*G10*G14)</f>
        <v>#DIV/0!</v>
      </c>
      <c r="H23" s="30" t="e">
        <f t="shared" si="6"/>
        <v>#DIV/0!</v>
      </c>
      <c r="I23" s="30" t="e">
        <f t="shared" si="6"/>
        <v>#DIV/0!</v>
      </c>
      <c r="J23" s="30" t="e">
        <f t="shared" si="6"/>
        <v>#DIV/0!</v>
      </c>
    </row>
    <row r="24" spans="2:10" ht="18">
      <c r="B24" s="27" t="s">
        <v>2</v>
      </c>
      <c r="C24" s="28" t="s">
        <v>46</v>
      </c>
      <c r="D24" s="30">
        <f>$C$4*D9^(-$C$5)</f>
        <v>4.1246693013835465</v>
      </c>
      <c r="E24" s="30">
        <f t="shared" ref="E24:J26" si="7">D24</f>
        <v>4.1246693013835465</v>
      </c>
      <c r="F24" s="30">
        <f t="shared" si="7"/>
        <v>4.1246693013835465</v>
      </c>
      <c r="G24" s="30">
        <f t="shared" si="7"/>
        <v>4.1246693013835465</v>
      </c>
      <c r="H24" s="30">
        <f t="shared" si="7"/>
        <v>4.1246693013835465</v>
      </c>
      <c r="I24" s="30">
        <f t="shared" si="7"/>
        <v>4.1246693013835465</v>
      </c>
      <c r="J24" s="30">
        <f t="shared" si="7"/>
        <v>4.1246693013835465</v>
      </c>
    </row>
    <row r="25" spans="2:10">
      <c r="B25" s="27" t="s">
        <v>47</v>
      </c>
      <c r="C25" s="28"/>
      <c r="D25" s="31">
        <v>0.2</v>
      </c>
      <c r="E25" s="30">
        <f t="shared" si="7"/>
        <v>0.2</v>
      </c>
      <c r="F25" s="30">
        <f t="shared" si="7"/>
        <v>0.2</v>
      </c>
      <c r="G25" s="30">
        <f t="shared" si="7"/>
        <v>0.2</v>
      </c>
      <c r="H25" s="30">
        <f t="shared" si="7"/>
        <v>0.2</v>
      </c>
      <c r="I25" s="30">
        <f t="shared" si="7"/>
        <v>0.2</v>
      </c>
      <c r="J25" s="30">
        <f t="shared" si="7"/>
        <v>0.2</v>
      </c>
    </row>
    <row r="26" spans="2:10">
      <c r="B26" s="27" t="s">
        <v>48</v>
      </c>
      <c r="C26" s="28" t="s">
        <v>46</v>
      </c>
      <c r="D26" s="30">
        <f>D24*(1-D25)</f>
        <v>3.2997354411068374</v>
      </c>
      <c r="E26" s="30">
        <f t="shared" si="7"/>
        <v>3.2997354411068374</v>
      </c>
      <c r="F26" s="30">
        <f t="shared" si="7"/>
        <v>3.2997354411068374</v>
      </c>
      <c r="G26" s="30">
        <f t="shared" si="7"/>
        <v>3.2997354411068374</v>
      </c>
      <c r="H26" s="30">
        <f t="shared" si="7"/>
        <v>3.2997354411068374</v>
      </c>
      <c r="I26" s="30">
        <f t="shared" si="7"/>
        <v>3.2997354411068374</v>
      </c>
      <c r="J26" s="30">
        <f t="shared" si="7"/>
        <v>3.2997354411068374</v>
      </c>
    </row>
    <row r="27" spans="2:10">
      <c r="B27" s="11" t="s">
        <v>49</v>
      </c>
      <c r="C27" s="5"/>
      <c r="D27" s="30" t="e">
        <f>D23/D26</f>
        <v>#DIV/0!</v>
      </c>
      <c r="E27" s="30" t="e">
        <f>E23/E26</f>
        <v>#DIV/0!</v>
      </c>
      <c r="F27" s="30" t="e">
        <f t="shared" ref="F27:J27" si="8">F23/F26</f>
        <v>#DIV/0!</v>
      </c>
      <c r="G27" s="30" t="e">
        <f t="shared" si="8"/>
        <v>#DIV/0!</v>
      </c>
      <c r="H27" s="30" t="e">
        <f t="shared" si="8"/>
        <v>#DIV/0!</v>
      </c>
      <c r="I27" s="30" t="e">
        <f t="shared" si="8"/>
        <v>#DIV/0!</v>
      </c>
      <c r="J27" s="30" t="e">
        <f t="shared" si="8"/>
        <v>#DIV/0!</v>
      </c>
    </row>
    <row r="28" spans="2:10">
      <c r="B28" s="11" t="s">
        <v>62</v>
      </c>
      <c r="C28" s="5"/>
      <c r="D28" s="32" t="e">
        <f>IF(D23&lt;=D26,"Comply","Not Comply")</f>
        <v>#DIV/0!</v>
      </c>
      <c r="E28" s="32" t="e">
        <f t="shared" ref="E28:J28" si="9">IF(E23&lt;=E26,"Comply","Not Comply")</f>
        <v>#DIV/0!</v>
      </c>
      <c r="F28" s="32" t="e">
        <f t="shared" si="9"/>
        <v>#DIV/0!</v>
      </c>
      <c r="G28" s="32" t="e">
        <f t="shared" si="9"/>
        <v>#DIV/0!</v>
      </c>
      <c r="H28" s="32" t="e">
        <f t="shared" si="9"/>
        <v>#DIV/0!</v>
      </c>
      <c r="I28" s="32" t="e">
        <f t="shared" si="9"/>
        <v>#DIV/0!</v>
      </c>
      <c r="J28" s="32" t="e">
        <f t="shared" si="9"/>
        <v>#DIV/0!</v>
      </c>
    </row>
    <row r="29" spans="2:10">
      <c r="B29" s="2"/>
      <c r="C29" s="2"/>
      <c r="D29" s="2"/>
      <c r="E29" s="2"/>
      <c r="F29" s="2"/>
      <c r="G29" s="2"/>
      <c r="H29" s="2"/>
      <c r="I29" s="2"/>
      <c r="J29" s="2"/>
    </row>
    <row r="30" spans="2:10">
      <c r="B30" s="10" t="str">
        <f>B7</f>
        <v>Tanker</v>
      </c>
      <c r="C30" s="10" t="str">
        <f>C7</f>
        <v>MR</v>
      </c>
      <c r="D30" s="5" t="s">
        <v>11</v>
      </c>
      <c r="E30" s="5" t="s">
        <v>12</v>
      </c>
      <c r="F30" s="5" t="s">
        <v>12</v>
      </c>
      <c r="G30" s="5" t="s">
        <v>12</v>
      </c>
      <c r="H30" s="5" t="s">
        <v>12</v>
      </c>
      <c r="I30" s="5" t="s">
        <v>12</v>
      </c>
      <c r="J30" s="5" t="s">
        <v>12</v>
      </c>
    </row>
    <row r="31" spans="2:10">
      <c r="B31" s="11"/>
      <c r="C31" s="5" t="s">
        <v>13</v>
      </c>
      <c r="D31" s="12" t="s">
        <v>51</v>
      </c>
      <c r="E31" s="5" t="s">
        <v>15</v>
      </c>
      <c r="F31" s="5" t="s">
        <v>16</v>
      </c>
      <c r="G31" s="5" t="s">
        <v>17</v>
      </c>
      <c r="H31" s="5" t="s">
        <v>18</v>
      </c>
      <c r="I31" s="5" t="s">
        <v>19</v>
      </c>
      <c r="J31" s="5" t="s">
        <v>20</v>
      </c>
    </row>
    <row r="32" spans="2:10">
      <c r="B32" s="13" t="s">
        <v>21</v>
      </c>
      <c r="C32" s="14" t="s">
        <v>22</v>
      </c>
      <c r="D32" s="16">
        <f>D9</f>
        <v>115501.8</v>
      </c>
      <c r="E32" s="16">
        <f>D32</f>
        <v>115501.8</v>
      </c>
      <c r="F32" s="16">
        <f t="shared" ref="F32:J34" si="10">E32</f>
        <v>115501.8</v>
      </c>
      <c r="G32" s="16">
        <f t="shared" si="10"/>
        <v>115501.8</v>
      </c>
      <c r="H32" s="16">
        <f t="shared" si="10"/>
        <v>115501.8</v>
      </c>
      <c r="I32" s="16">
        <f t="shared" si="10"/>
        <v>115501.8</v>
      </c>
      <c r="J32" s="16">
        <f t="shared" si="10"/>
        <v>115501.8</v>
      </c>
    </row>
    <row r="33" spans="2:10">
      <c r="B33" s="11" t="s">
        <v>53</v>
      </c>
      <c r="C33" s="17" t="s">
        <v>25</v>
      </c>
      <c r="D33" s="18">
        <f>D10</f>
        <v>115501.8</v>
      </c>
      <c r="E33" s="18">
        <f>D33</f>
        <v>115501.8</v>
      </c>
      <c r="F33" s="18">
        <f t="shared" si="10"/>
        <v>115501.8</v>
      </c>
      <c r="G33" s="18">
        <f t="shared" si="10"/>
        <v>115501.8</v>
      </c>
      <c r="H33" s="18">
        <f t="shared" si="10"/>
        <v>115501.8</v>
      </c>
      <c r="I33" s="18">
        <f t="shared" si="10"/>
        <v>115501.8</v>
      </c>
      <c r="J33" s="18">
        <f t="shared" si="10"/>
        <v>115501.8</v>
      </c>
    </row>
    <row r="34" spans="2:10" ht="18">
      <c r="B34" s="11" t="s">
        <v>27</v>
      </c>
      <c r="C34" s="5" t="s">
        <v>28</v>
      </c>
      <c r="D34" s="18">
        <f>D11</f>
        <v>13560</v>
      </c>
      <c r="E34" s="20">
        <f>D34</f>
        <v>13560</v>
      </c>
      <c r="F34" s="20">
        <f t="shared" si="10"/>
        <v>13560</v>
      </c>
      <c r="G34" s="20">
        <f t="shared" si="10"/>
        <v>13560</v>
      </c>
      <c r="H34" s="20">
        <f t="shared" si="10"/>
        <v>13560</v>
      </c>
      <c r="I34" s="20">
        <f t="shared" si="10"/>
        <v>13560</v>
      </c>
      <c r="J34" s="20">
        <f t="shared" si="10"/>
        <v>13560</v>
      </c>
    </row>
    <row r="35" spans="2:10" ht="18">
      <c r="B35" s="11" t="s">
        <v>29</v>
      </c>
      <c r="C35" s="5" t="s">
        <v>28</v>
      </c>
      <c r="D35" s="21" t="s">
        <v>30</v>
      </c>
      <c r="E35" s="18">
        <f>E41/0.75</f>
        <v>10614.706374296837</v>
      </c>
      <c r="F35" s="18">
        <f t="shared" ref="F35:J35" si="11">F41/0.75</f>
        <v>10342.325042341334</v>
      </c>
      <c r="G35" s="18">
        <f t="shared" si="11"/>
        <v>10310.090391882013</v>
      </c>
      <c r="H35" s="18">
        <f t="shared" si="11"/>
        <v>10306.174355129222</v>
      </c>
      <c r="I35" s="18">
        <f t="shared" si="11"/>
        <v>10305.697114949953</v>
      </c>
      <c r="J35" s="18">
        <f t="shared" si="11"/>
        <v>10305.638932294662</v>
      </c>
    </row>
    <row r="36" spans="2:10" ht="18">
      <c r="B36" s="11" t="s">
        <v>31</v>
      </c>
      <c r="C36" s="5" t="s">
        <v>32</v>
      </c>
      <c r="D36" s="21" t="s">
        <v>30</v>
      </c>
      <c r="E36" s="18">
        <f>E41*1.15</f>
        <v>9155.1842478310209</v>
      </c>
      <c r="F36" s="18">
        <f t="shared" ref="F36:J36" si="12">F41*1.15</f>
        <v>8920.2553490194005</v>
      </c>
      <c r="G36" s="18">
        <f t="shared" si="12"/>
        <v>8892.4529629982353</v>
      </c>
      <c r="H36" s="18">
        <f t="shared" si="12"/>
        <v>8889.0753812989533</v>
      </c>
      <c r="I36" s="18">
        <f t="shared" si="12"/>
        <v>8888.663761644335</v>
      </c>
      <c r="J36" s="18">
        <f t="shared" si="12"/>
        <v>8888.6135791041452</v>
      </c>
    </row>
    <row r="37" spans="2:10" ht="18">
      <c r="B37" s="11" t="s">
        <v>54</v>
      </c>
      <c r="C37" s="5" t="s">
        <v>28</v>
      </c>
      <c r="D37" s="20">
        <f>IF(D34&gt;=10000,((D33*D50*D39/3.1144-215*250)/(190*0.75+215*0.025)),((D33*D50*D39)/(3.1144*(190*0.75+215*0.05))))</f>
        <v>15399.128220003086</v>
      </c>
      <c r="E37" s="21" t="s">
        <v>30</v>
      </c>
      <c r="F37" s="21" t="s">
        <v>30</v>
      </c>
      <c r="G37" s="21" t="s">
        <v>30</v>
      </c>
      <c r="H37" s="21" t="s">
        <v>30</v>
      </c>
      <c r="I37" s="21" t="s">
        <v>30</v>
      </c>
      <c r="J37" s="21" t="s">
        <v>30</v>
      </c>
    </row>
    <row r="38" spans="2:10" ht="18">
      <c r="B38" s="22" t="s">
        <v>55</v>
      </c>
      <c r="C38" s="23" t="s">
        <v>34</v>
      </c>
      <c r="D38" s="33">
        <f>(D39-D40)*(D34/D37)^(1/3)</f>
        <v>13.874932314859201</v>
      </c>
      <c r="E38" s="33">
        <f>D38*(E41/D41)^(1/3)</f>
        <v>12.787342720127896</v>
      </c>
      <c r="F38" s="33">
        <f t="shared" ref="F38:J38" si="13">E38*(F41/E41)^(1/3)</f>
        <v>12.677015975925631</v>
      </c>
      <c r="G38" s="33">
        <f t="shared" si="13"/>
        <v>12.663831820569589</v>
      </c>
      <c r="H38" s="33">
        <f t="shared" si="13"/>
        <v>12.662228268157806</v>
      </c>
      <c r="I38" s="33">
        <f t="shared" si="13"/>
        <v>12.662032818415486</v>
      </c>
      <c r="J38" s="33">
        <f t="shared" si="13"/>
        <v>12.662008989780736</v>
      </c>
    </row>
    <row r="39" spans="2:10" ht="18">
      <c r="B39" s="22" t="s">
        <v>56</v>
      </c>
      <c r="C39" s="23" t="s">
        <v>34</v>
      </c>
      <c r="D39" s="34">
        <f>E4*D32^E5</f>
        <v>15.237699913204963</v>
      </c>
      <c r="E39" s="35" t="s">
        <v>30</v>
      </c>
      <c r="F39" s="35" t="s">
        <v>30</v>
      </c>
      <c r="G39" s="35" t="s">
        <v>30</v>
      </c>
      <c r="H39" s="35" t="s">
        <v>30</v>
      </c>
      <c r="I39" s="35" t="s">
        <v>30</v>
      </c>
      <c r="J39" s="35" t="s">
        <v>30</v>
      </c>
    </row>
    <row r="40" spans="2:10">
      <c r="B40" s="22" t="s">
        <v>57</v>
      </c>
      <c r="C40" s="23" t="s">
        <v>34</v>
      </c>
      <c r="D40" s="33">
        <f>MIN(1,D39*0.05)</f>
        <v>0.76188499566024825</v>
      </c>
      <c r="E40" s="35" t="s">
        <v>30</v>
      </c>
      <c r="F40" s="35" t="s">
        <v>30</v>
      </c>
      <c r="G40" s="35" t="s">
        <v>30</v>
      </c>
      <c r="H40" s="35" t="s">
        <v>30</v>
      </c>
      <c r="I40" s="35" t="s">
        <v>30</v>
      </c>
      <c r="J40" s="35" t="s">
        <v>30</v>
      </c>
    </row>
    <row r="41" spans="2:10" ht="18">
      <c r="B41" s="11" t="s">
        <v>35</v>
      </c>
      <c r="C41" s="5" t="s">
        <v>28</v>
      </c>
      <c r="D41" s="18">
        <f>0.75*D34</f>
        <v>10170</v>
      </c>
      <c r="E41" s="18">
        <f>(0.9999*1/D53)^(3/2)*D41</f>
        <v>7961.0297807226279</v>
      </c>
      <c r="F41" s="18">
        <f t="shared" ref="F41:J41" si="14">(0.9999*1/E53)^(3/2)*E41</f>
        <v>7756.7437817560003</v>
      </c>
      <c r="G41" s="18">
        <f t="shared" si="14"/>
        <v>7732.5677939115094</v>
      </c>
      <c r="H41" s="18">
        <f t="shared" si="14"/>
        <v>7729.630766346917</v>
      </c>
      <c r="I41" s="18">
        <f t="shared" si="14"/>
        <v>7729.2728362124653</v>
      </c>
      <c r="J41" s="18">
        <f t="shared" si="14"/>
        <v>7729.2291992209957</v>
      </c>
    </row>
    <row r="42" spans="2:10" ht="18">
      <c r="B42" s="11" t="s">
        <v>36</v>
      </c>
      <c r="C42" s="5" t="s">
        <v>28</v>
      </c>
      <c r="D42" s="18">
        <f>IF(D34&gt;=10000,0.025*D34+250,0.05*D34)</f>
        <v>589</v>
      </c>
      <c r="E42" s="18">
        <f t="shared" ref="E42:J48" si="15">D42</f>
        <v>589</v>
      </c>
      <c r="F42" s="18">
        <f t="shared" si="15"/>
        <v>589</v>
      </c>
      <c r="G42" s="18">
        <f t="shared" si="15"/>
        <v>589</v>
      </c>
      <c r="H42" s="18">
        <f t="shared" si="15"/>
        <v>589</v>
      </c>
      <c r="I42" s="18">
        <f t="shared" si="15"/>
        <v>589</v>
      </c>
      <c r="J42" s="18">
        <f t="shared" si="15"/>
        <v>589</v>
      </c>
    </row>
    <row r="43" spans="2:10" ht="18">
      <c r="B43" s="22" t="s">
        <v>37</v>
      </c>
      <c r="C43" s="23" t="s">
        <v>38</v>
      </c>
      <c r="D43" s="26">
        <f t="shared" ref="D43:D48" si="16">D17</f>
        <v>178.9</v>
      </c>
      <c r="E43" s="26">
        <f t="shared" si="15"/>
        <v>178.9</v>
      </c>
      <c r="F43" s="26">
        <f t="shared" si="15"/>
        <v>178.9</v>
      </c>
      <c r="G43" s="26">
        <f t="shared" si="15"/>
        <v>178.9</v>
      </c>
      <c r="H43" s="26">
        <f t="shared" si="15"/>
        <v>178.9</v>
      </c>
      <c r="I43" s="26">
        <f t="shared" si="15"/>
        <v>178.9</v>
      </c>
      <c r="J43" s="26">
        <f t="shared" si="15"/>
        <v>178.9</v>
      </c>
    </row>
    <row r="44" spans="2:10" ht="18">
      <c r="B44" s="22" t="s">
        <v>39</v>
      </c>
      <c r="C44" s="23" t="s">
        <v>38</v>
      </c>
      <c r="D44" s="26">
        <f t="shared" si="16"/>
        <v>207.7</v>
      </c>
      <c r="E44" s="26">
        <f t="shared" si="15"/>
        <v>207.7</v>
      </c>
      <c r="F44" s="26">
        <f t="shared" si="15"/>
        <v>207.7</v>
      </c>
      <c r="G44" s="26">
        <f t="shared" si="15"/>
        <v>207.7</v>
      </c>
      <c r="H44" s="26">
        <f t="shared" si="15"/>
        <v>207.7</v>
      </c>
      <c r="I44" s="26">
        <f t="shared" si="15"/>
        <v>207.7</v>
      </c>
      <c r="J44" s="26">
        <f t="shared" si="15"/>
        <v>207.7</v>
      </c>
    </row>
    <row r="45" spans="2:10" ht="18">
      <c r="B45" s="27" t="s">
        <v>40</v>
      </c>
      <c r="C45" s="28" t="s">
        <v>41</v>
      </c>
      <c r="D45" s="30">
        <f t="shared" si="16"/>
        <v>3.206</v>
      </c>
      <c r="E45" s="30">
        <f t="shared" si="15"/>
        <v>3.206</v>
      </c>
      <c r="F45" s="30">
        <f t="shared" si="15"/>
        <v>3.206</v>
      </c>
      <c r="G45" s="30">
        <f t="shared" si="15"/>
        <v>3.206</v>
      </c>
      <c r="H45" s="30">
        <f t="shared" si="15"/>
        <v>3.206</v>
      </c>
      <c r="I45" s="30">
        <f t="shared" si="15"/>
        <v>3.206</v>
      </c>
      <c r="J45" s="30">
        <f t="shared" si="15"/>
        <v>3.206</v>
      </c>
    </row>
    <row r="46" spans="2:10" ht="18">
      <c r="B46" s="27" t="s">
        <v>42</v>
      </c>
      <c r="C46" s="28" t="s">
        <v>41</v>
      </c>
      <c r="D46" s="30">
        <f t="shared" si="16"/>
        <v>3.206</v>
      </c>
      <c r="E46" s="30">
        <f t="shared" si="15"/>
        <v>3.206</v>
      </c>
      <c r="F46" s="30">
        <f t="shared" si="15"/>
        <v>3.206</v>
      </c>
      <c r="G46" s="30">
        <f t="shared" si="15"/>
        <v>3.206</v>
      </c>
      <c r="H46" s="30">
        <f t="shared" si="15"/>
        <v>3.206</v>
      </c>
      <c r="I46" s="30">
        <f t="shared" si="15"/>
        <v>3.206</v>
      </c>
      <c r="J46" s="30">
        <f t="shared" si="15"/>
        <v>3.206</v>
      </c>
    </row>
    <row r="47" spans="2:10" ht="18">
      <c r="B47" s="27" t="s">
        <v>43</v>
      </c>
      <c r="C47" s="28"/>
      <c r="D47" s="30">
        <f t="shared" si="16"/>
        <v>1</v>
      </c>
      <c r="E47" s="30">
        <f t="shared" si="15"/>
        <v>1</v>
      </c>
      <c r="F47" s="30">
        <f t="shared" si="15"/>
        <v>1</v>
      </c>
      <c r="G47" s="30">
        <f t="shared" si="15"/>
        <v>1</v>
      </c>
      <c r="H47" s="30">
        <f t="shared" si="15"/>
        <v>1</v>
      </c>
      <c r="I47" s="30">
        <f t="shared" si="15"/>
        <v>1</v>
      </c>
      <c r="J47" s="30">
        <f t="shared" si="15"/>
        <v>1</v>
      </c>
    </row>
    <row r="48" spans="2:10" ht="18">
      <c r="B48" s="27" t="s">
        <v>44</v>
      </c>
      <c r="C48" s="28"/>
      <c r="D48" s="30">
        <f t="shared" si="16"/>
        <v>1</v>
      </c>
      <c r="E48" s="30">
        <f t="shared" si="15"/>
        <v>1</v>
      </c>
      <c r="F48" s="30">
        <f t="shared" si="15"/>
        <v>1</v>
      </c>
      <c r="G48" s="30">
        <f t="shared" si="15"/>
        <v>1</v>
      </c>
      <c r="H48" s="30">
        <f t="shared" si="15"/>
        <v>1</v>
      </c>
      <c r="I48" s="30">
        <f t="shared" si="15"/>
        <v>1</v>
      </c>
      <c r="J48" s="30">
        <f t="shared" si="15"/>
        <v>1</v>
      </c>
    </row>
    <row r="49" spans="2:10">
      <c r="B49" s="27" t="s">
        <v>45</v>
      </c>
      <c r="C49" s="28" t="s">
        <v>46</v>
      </c>
      <c r="D49" s="30">
        <f>(D45*D43*D41+D46*D44*D42)/(D47*D48*D33*D38)</f>
        <v>3.8845152075024787</v>
      </c>
      <c r="E49" s="30">
        <f>(E45*E43*E41+E46*E44*E42)/(E47*E48*E33*E38)</f>
        <v>3.3570841272412459</v>
      </c>
      <c r="F49" s="30">
        <f t="shared" ref="F49:J49" si="17">(F45*F43*F41+F46*F44*F42)/(F47*F48*F33*F38)</f>
        <v>3.3062789823832661</v>
      </c>
      <c r="G49" s="30">
        <f t="shared" si="17"/>
        <v>3.3002411979722681</v>
      </c>
      <c r="H49" s="30">
        <f t="shared" si="17"/>
        <v>3.2995073268667974</v>
      </c>
      <c r="I49" s="30">
        <f t="shared" si="17"/>
        <v>3.2994178858767276</v>
      </c>
      <c r="J49" s="30">
        <f t="shared" si="17"/>
        <v>3.2994069816123255</v>
      </c>
    </row>
    <row r="50" spans="2:10" ht="18">
      <c r="B50" s="27" t="s">
        <v>2</v>
      </c>
      <c r="C50" s="28" t="s">
        <v>46</v>
      </c>
      <c r="D50" s="30">
        <f>$C$4*(D32)^(-$C$5)</f>
        <v>4.1246693013835465</v>
      </c>
      <c r="E50" s="30">
        <f>D50</f>
        <v>4.1246693013835465</v>
      </c>
      <c r="F50" s="30">
        <f t="shared" ref="F50:J52" si="18">E50</f>
        <v>4.1246693013835465</v>
      </c>
      <c r="G50" s="30">
        <f t="shared" si="18"/>
        <v>4.1246693013835465</v>
      </c>
      <c r="H50" s="30">
        <f t="shared" si="18"/>
        <v>4.1246693013835465</v>
      </c>
      <c r="I50" s="30">
        <f t="shared" si="18"/>
        <v>4.1246693013835465</v>
      </c>
      <c r="J50" s="30">
        <f t="shared" si="18"/>
        <v>4.1246693013835465</v>
      </c>
    </row>
    <row r="51" spans="2:10">
      <c r="B51" s="27" t="s">
        <v>47</v>
      </c>
      <c r="C51" s="28"/>
      <c r="D51" s="30">
        <f>D25</f>
        <v>0.2</v>
      </c>
      <c r="E51" s="30">
        <f t="shared" ref="E51:E52" si="19">D51</f>
        <v>0.2</v>
      </c>
      <c r="F51" s="30">
        <f t="shared" si="18"/>
        <v>0.2</v>
      </c>
      <c r="G51" s="30">
        <f t="shared" si="18"/>
        <v>0.2</v>
      </c>
      <c r="H51" s="30">
        <f t="shared" si="18"/>
        <v>0.2</v>
      </c>
      <c r="I51" s="30">
        <f t="shared" si="18"/>
        <v>0.2</v>
      </c>
      <c r="J51" s="30">
        <f t="shared" si="18"/>
        <v>0.2</v>
      </c>
    </row>
    <row r="52" spans="2:10">
      <c r="B52" s="27" t="s">
        <v>48</v>
      </c>
      <c r="C52" s="28" t="s">
        <v>46</v>
      </c>
      <c r="D52" s="30">
        <f>D50*(1-D51)</f>
        <v>3.2997354411068374</v>
      </c>
      <c r="E52" s="30">
        <f t="shared" si="19"/>
        <v>3.2997354411068374</v>
      </c>
      <c r="F52" s="30">
        <f t="shared" si="18"/>
        <v>3.2997354411068374</v>
      </c>
      <c r="G52" s="30">
        <f t="shared" si="18"/>
        <v>3.2997354411068374</v>
      </c>
      <c r="H52" s="30">
        <f t="shared" si="18"/>
        <v>3.2997354411068374</v>
      </c>
      <c r="I52" s="30">
        <f t="shared" si="18"/>
        <v>3.2997354411068374</v>
      </c>
      <c r="J52" s="30">
        <f t="shared" si="18"/>
        <v>3.2997354411068374</v>
      </c>
    </row>
    <row r="53" spans="2:10">
      <c r="B53" s="11" t="s">
        <v>49</v>
      </c>
      <c r="C53" s="5"/>
      <c r="D53" s="30">
        <f>D49/D52</f>
        <v>1.1772201974469467</v>
      </c>
      <c r="E53" s="30">
        <f>E49/E52</f>
        <v>1.0173797830638118</v>
      </c>
      <c r="F53" s="30">
        <f t="shared" ref="F53:J53" si="20">F49/F52</f>
        <v>1.0019830502757621</v>
      </c>
      <c r="G53" s="30">
        <f t="shared" si="20"/>
        <v>1.000153271943905</v>
      </c>
      <c r="H53" s="30">
        <f t="shared" si="20"/>
        <v>0.99993086893052141</v>
      </c>
      <c r="I53" s="30">
        <f t="shared" si="20"/>
        <v>0.99990376342716636</v>
      </c>
      <c r="J53" s="30">
        <f t="shared" si="20"/>
        <v>0.99990045883969358</v>
      </c>
    </row>
    <row r="54" spans="2:10">
      <c r="B54" s="11" t="s">
        <v>50</v>
      </c>
      <c r="C54" s="11"/>
      <c r="D54" s="32" t="str">
        <f t="shared" ref="D54:J54" si="21">IF(D49&lt;=D52,"Comply","Not Comply")</f>
        <v>Not Comply</v>
      </c>
      <c r="E54" s="32" t="str">
        <f t="shared" si="21"/>
        <v>Not Comply</v>
      </c>
      <c r="F54" s="32" t="str">
        <f t="shared" si="21"/>
        <v>Not Comply</v>
      </c>
      <c r="G54" s="32" t="str">
        <f t="shared" si="21"/>
        <v>Not Comply</v>
      </c>
      <c r="H54" s="32" t="str">
        <f t="shared" si="21"/>
        <v>Comply</v>
      </c>
      <c r="I54" s="32" t="str">
        <f t="shared" si="21"/>
        <v>Comply</v>
      </c>
      <c r="J54" s="32" t="str">
        <f t="shared" si="21"/>
        <v>Comply</v>
      </c>
    </row>
  </sheetData>
  <mergeCells count="4">
    <mergeCell ref="B2:E2"/>
    <mergeCell ref="B3:C3"/>
    <mergeCell ref="D3:E3"/>
    <mergeCell ref="L4:L5"/>
  </mergeCells>
  <phoneticPr fontId="0" type="noConversion"/>
  <printOptions gridLines="1" gridLinesSet="0"/>
  <pageMargins left="0.75" right="0.75" top="1" bottom="1" header="0.5" footer="0.27"/>
  <pageSetup paperSize="9" orientation="portrait" r:id="rId1"/>
  <headerFooter alignWithMargins="0">
    <oddHeader>&amp;A</oddHeader>
    <oddFooter>&amp;L&amp;8s:\DR\2000.1\Techni-Excel-EEXI-calculator-INTE.XLSX&amp;R&amp;8&amp;D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DF46A-923B-459B-9A2C-871BBD5BF618}">
  <dimension ref="B2:N54"/>
  <sheetViews>
    <sheetView topLeftCell="A22" workbookViewId="0">
      <selection activeCell="L35" sqref="L35"/>
    </sheetView>
  </sheetViews>
  <sheetFormatPr defaultColWidth="9" defaultRowHeight="15"/>
  <cols>
    <col min="1" max="1" width="9" style="1"/>
    <col min="2" max="2" width="16.28515625" style="1" customWidth="1"/>
    <col min="3" max="3" width="16.140625" style="1" bestFit="1" customWidth="1"/>
    <col min="4" max="10" width="12.5703125" style="1" customWidth="1"/>
    <col min="11" max="11" width="9" style="1"/>
    <col min="12" max="12" width="28" style="1" customWidth="1"/>
    <col min="13" max="13" width="36.140625" style="1" customWidth="1"/>
    <col min="14" max="14" width="15.42578125" style="1" customWidth="1"/>
    <col min="15" max="16384" width="9" style="1"/>
  </cols>
  <sheetData>
    <row r="2" spans="2:14" ht="18.75">
      <c r="B2" s="47" t="s">
        <v>0</v>
      </c>
      <c r="C2" s="48"/>
      <c r="D2" s="48"/>
      <c r="E2" s="48"/>
      <c r="H2" s="2"/>
      <c r="I2" s="2"/>
      <c r="J2" s="2"/>
      <c r="L2" s="3" t="s">
        <v>1</v>
      </c>
    </row>
    <row r="3" spans="2:14" ht="30">
      <c r="B3" s="49" t="s">
        <v>2</v>
      </c>
      <c r="C3" s="50"/>
      <c r="D3" s="49" t="s">
        <v>3</v>
      </c>
      <c r="E3" s="50"/>
      <c r="H3" s="2"/>
      <c r="I3" s="2"/>
      <c r="J3" s="2"/>
      <c r="L3" s="46" t="s">
        <v>4</v>
      </c>
      <c r="M3" s="46" t="s">
        <v>5</v>
      </c>
      <c r="N3" s="46" t="s">
        <v>6</v>
      </c>
    </row>
    <row r="4" spans="2:14">
      <c r="B4" s="45" t="s">
        <v>7</v>
      </c>
      <c r="C4" s="6">
        <v>1218.8</v>
      </c>
      <c r="D4" s="45" t="s">
        <v>8</v>
      </c>
      <c r="E4" s="7">
        <v>8.1357999999999997</v>
      </c>
      <c r="H4" s="2"/>
      <c r="I4" s="2"/>
      <c r="J4" s="2"/>
      <c r="L4" s="51" t="s">
        <v>126</v>
      </c>
      <c r="M4" s="46" t="s">
        <v>24</v>
      </c>
      <c r="N4" s="46">
        <v>20</v>
      </c>
    </row>
    <row r="5" spans="2:14" ht="30">
      <c r="B5" s="45" t="s">
        <v>9</v>
      </c>
      <c r="C5" s="8">
        <v>0.48799999999999999</v>
      </c>
      <c r="D5" s="45" t="s">
        <v>10</v>
      </c>
      <c r="E5" s="9">
        <v>5.3830000000000003E-2</v>
      </c>
      <c r="L5" s="51"/>
      <c r="M5" s="46" t="s">
        <v>26</v>
      </c>
      <c r="N5" s="46" t="s">
        <v>58</v>
      </c>
    </row>
    <row r="6" spans="2:14">
      <c r="L6" s="1" t="s">
        <v>59</v>
      </c>
    </row>
    <row r="7" spans="2:14">
      <c r="B7" s="10" t="s">
        <v>0</v>
      </c>
      <c r="C7" s="10" t="s">
        <v>64</v>
      </c>
      <c r="D7" s="45" t="s">
        <v>11</v>
      </c>
      <c r="E7" s="45" t="s">
        <v>12</v>
      </c>
      <c r="F7" s="45" t="s">
        <v>12</v>
      </c>
      <c r="G7" s="45" t="s">
        <v>12</v>
      </c>
      <c r="H7" s="45" t="s">
        <v>12</v>
      </c>
      <c r="I7" s="45" t="s">
        <v>12</v>
      </c>
      <c r="J7" s="45" t="s">
        <v>12</v>
      </c>
      <c r="L7" s="1" t="s">
        <v>52</v>
      </c>
    </row>
    <row r="8" spans="2:14">
      <c r="B8" s="11"/>
      <c r="C8" s="45" t="s">
        <v>13</v>
      </c>
      <c r="D8" s="12" t="s">
        <v>14</v>
      </c>
      <c r="E8" s="45" t="s">
        <v>15</v>
      </c>
      <c r="F8" s="45" t="s">
        <v>16</v>
      </c>
      <c r="G8" s="45" t="s">
        <v>17</v>
      </c>
      <c r="H8" s="45" t="s">
        <v>18</v>
      </c>
      <c r="I8" s="45" t="s">
        <v>19</v>
      </c>
      <c r="J8" s="45" t="s">
        <v>20</v>
      </c>
    </row>
    <row r="9" spans="2:14">
      <c r="B9" s="13" t="s">
        <v>21</v>
      </c>
      <c r="C9" s="14" t="s">
        <v>22</v>
      </c>
      <c r="D9" s="15">
        <v>61344</v>
      </c>
      <c r="E9" s="16">
        <f>D9</f>
        <v>61344</v>
      </c>
      <c r="F9" s="16">
        <f t="shared" ref="F9:J11" si="0">E9</f>
        <v>61344</v>
      </c>
      <c r="G9" s="16">
        <f t="shared" si="0"/>
        <v>61344</v>
      </c>
      <c r="H9" s="16">
        <f t="shared" si="0"/>
        <v>61344</v>
      </c>
      <c r="I9" s="16">
        <f t="shared" si="0"/>
        <v>61344</v>
      </c>
      <c r="J9" s="16">
        <f t="shared" si="0"/>
        <v>61344</v>
      </c>
    </row>
    <row r="10" spans="2:14">
      <c r="B10" s="11" t="s">
        <v>61</v>
      </c>
      <c r="C10" s="17" t="s">
        <v>25</v>
      </c>
      <c r="D10" s="18">
        <f>D9</f>
        <v>61344</v>
      </c>
      <c r="E10" s="18">
        <f>D10</f>
        <v>61344</v>
      </c>
      <c r="F10" s="18">
        <f t="shared" si="0"/>
        <v>61344</v>
      </c>
      <c r="G10" s="18">
        <f t="shared" si="0"/>
        <v>61344</v>
      </c>
      <c r="H10" s="18">
        <f t="shared" si="0"/>
        <v>61344</v>
      </c>
      <c r="I10" s="18">
        <f t="shared" si="0"/>
        <v>61344</v>
      </c>
      <c r="J10" s="18">
        <f t="shared" si="0"/>
        <v>61344</v>
      </c>
    </row>
    <row r="11" spans="2:14" ht="18">
      <c r="B11" s="11" t="s">
        <v>27</v>
      </c>
      <c r="C11" s="45" t="s">
        <v>28</v>
      </c>
      <c r="D11" s="19">
        <v>8322</v>
      </c>
      <c r="E11" s="20">
        <f>D11</f>
        <v>8322</v>
      </c>
      <c r="F11" s="20">
        <f t="shared" si="0"/>
        <v>8322</v>
      </c>
      <c r="G11" s="20">
        <f t="shared" si="0"/>
        <v>8322</v>
      </c>
      <c r="H11" s="20">
        <f t="shared" si="0"/>
        <v>8322</v>
      </c>
      <c r="I11" s="20">
        <f t="shared" si="0"/>
        <v>8322</v>
      </c>
      <c r="J11" s="20">
        <f t="shared" si="0"/>
        <v>8322</v>
      </c>
    </row>
    <row r="12" spans="2:14" ht="18">
      <c r="B12" s="11" t="s">
        <v>29</v>
      </c>
      <c r="C12" s="45" t="s">
        <v>28</v>
      </c>
      <c r="D12" s="21" t="s">
        <v>30</v>
      </c>
      <c r="E12" s="18" t="e">
        <f>E15/0.75</f>
        <v>#DIV/0!</v>
      </c>
      <c r="F12" s="18" t="e">
        <f t="shared" ref="F12:J12" si="1">F15/0.75</f>
        <v>#DIV/0!</v>
      </c>
      <c r="G12" s="18" t="e">
        <f t="shared" si="1"/>
        <v>#DIV/0!</v>
      </c>
      <c r="H12" s="18" t="e">
        <f t="shared" si="1"/>
        <v>#DIV/0!</v>
      </c>
      <c r="I12" s="18" t="e">
        <f t="shared" si="1"/>
        <v>#DIV/0!</v>
      </c>
      <c r="J12" s="18" t="e">
        <f t="shared" si="1"/>
        <v>#DIV/0!</v>
      </c>
    </row>
    <row r="13" spans="2:14" ht="18">
      <c r="B13" s="11" t="s">
        <v>31</v>
      </c>
      <c r="C13" s="45" t="s">
        <v>32</v>
      </c>
      <c r="D13" s="21" t="s">
        <v>30</v>
      </c>
      <c r="E13" s="18" t="e">
        <f>E15*1.15</f>
        <v>#DIV/0!</v>
      </c>
      <c r="F13" s="18" t="e">
        <f t="shared" ref="F13:J13" si="2">F15*1.15</f>
        <v>#DIV/0!</v>
      </c>
      <c r="G13" s="18" t="e">
        <f t="shared" si="2"/>
        <v>#DIV/0!</v>
      </c>
      <c r="H13" s="18" t="e">
        <f t="shared" si="2"/>
        <v>#DIV/0!</v>
      </c>
      <c r="I13" s="18" t="e">
        <f t="shared" si="2"/>
        <v>#DIV/0!</v>
      </c>
      <c r="J13" s="18" t="e">
        <f t="shared" si="2"/>
        <v>#DIV/0!</v>
      </c>
    </row>
    <row r="14" spans="2:14" ht="18">
      <c r="B14" s="22" t="s">
        <v>33</v>
      </c>
      <c r="C14" s="23" t="s">
        <v>34</v>
      </c>
      <c r="D14" s="24"/>
      <c r="E14" s="6" t="e">
        <f>D14*(E15/D15)^(1/3)</f>
        <v>#DIV/0!</v>
      </c>
      <c r="F14" s="6" t="e">
        <f t="shared" ref="F14:J14" si="3">E14*(F15/E15)^(1/3)</f>
        <v>#DIV/0!</v>
      </c>
      <c r="G14" s="6" t="e">
        <f t="shared" si="3"/>
        <v>#DIV/0!</v>
      </c>
      <c r="H14" s="6" t="e">
        <f t="shared" si="3"/>
        <v>#DIV/0!</v>
      </c>
      <c r="I14" s="6" t="e">
        <f t="shared" si="3"/>
        <v>#DIV/0!</v>
      </c>
      <c r="J14" s="6" t="e">
        <f t="shared" si="3"/>
        <v>#DIV/0!</v>
      </c>
    </row>
    <row r="15" spans="2:14" ht="18" customHeight="1">
      <c r="B15" s="11" t="s">
        <v>35</v>
      </c>
      <c r="C15" s="45" t="s">
        <v>28</v>
      </c>
      <c r="D15" s="18">
        <f>0.75*D11</f>
        <v>6241.5</v>
      </c>
      <c r="E15" s="18" t="e">
        <f>(0.9999*1/D27)^(3/2)*D15</f>
        <v>#DIV/0!</v>
      </c>
      <c r="F15" s="18" t="e">
        <f t="shared" ref="F15:J15" si="4">(0.9999*1/E27)^(3/2)*E15</f>
        <v>#DIV/0!</v>
      </c>
      <c r="G15" s="18" t="e">
        <f t="shared" si="4"/>
        <v>#DIV/0!</v>
      </c>
      <c r="H15" s="18" t="e">
        <f t="shared" si="4"/>
        <v>#DIV/0!</v>
      </c>
      <c r="I15" s="18" t="e">
        <f t="shared" si="4"/>
        <v>#DIV/0!</v>
      </c>
      <c r="J15" s="18" t="e">
        <f t="shared" si="4"/>
        <v>#DIV/0!</v>
      </c>
    </row>
    <row r="16" spans="2:14" ht="18">
      <c r="B16" s="11" t="s">
        <v>36</v>
      </c>
      <c r="C16" s="45" t="s">
        <v>28</v>
      </c>
      <c r="D16" s="18">
        <f>IF(D11&gt;=10000,0.025*D11+250,0.05*D11)</f>
        <v>416.1</v>
      </c>
      <c r="E16" s="18">
        <f t="shared" ref="E16:J22" si="5">D16</f>
        <v>416.1</v>
      </c>
      <c r="F16" s="18">
        <f t="shared" si="5"/>
        <v>416.1</v>
      </c>
      <c r="G16" s="18">
        <f t="shared" si="5"/>
        <v>416.1</v>
      </c>
      <c r="H16" s="18">
        <f t="shared" si="5"/>
        <v>416.1</v>
      </c>
      <c r="I16" s="18">
        <f t="shared" si="5"/>
        <v>416.1</v>
      </c>
      <c r="J16" s="18">
        <f t="shared" si="5"/>
        <v>416.1</v>
      </c>
    </row>
    <row r="17" spans="2:10" ht="18">
      <c r="B17" s="22" t="s">
        <v>37</v>
      </c>
      <c r="C17" s="23" t="s">
        <v>38</v>
      </c>
      <c r="D17" s="25">
        <v>171.79</v>
      </c>
      <c r="E17" s="26">
        <f t="shared" si="5"/>
        <v>171.79</v>
      </c>
      <c r="F17" s="26">
        <f t="shared" si="5"/>
        <v>171.79</v>
      </c>
      <c r="G17" s="26">
        <f t="shared" si="5"/>
        <v>171.79</v>
      </c>
      <c r="H17" s="26">
        <f t="shared" si="5"/>
        <v>171.79</v>
      </c>
      <c r="I17" s="26">
        <f t="shared" si="5"/>
        <v>171.79</v>
      </c>
      <c r="J17" s="26">
        <f t="shared" si="5"/>
        <v>171.79</v>
      </c>
    </row>
    <row r="18" spans="2:10" ht="18">
      <c r="B18" s="22" t="s">
        <v>39</v>
      </c>
      <c r="C18" s="23" t="s">
        <v>38</v>
      </c>
      <c r="D18" s="25">
        <v>198</v>
      </c>
      <c r="E18" s="26">
        <f t="shared" si="5"/>
        <v>198</v>
      </c>
      <c r="F18" s="26">
        <f t="shared" si="5"/>
        <v>198</v>
      </c>
      <c r="G18" s="26">
        <f t="shared" si="5"/>
        <v>198</v>
      </c>
      <c r="H18" s="26">
        <f t="shared" si="5"/>
        <v>198</v>
      </c>
      <c r="I18" s="26">
        <f t="shared" si="5"/>
        <v>198</v>
      </c>
      <c r="J18" s="26">
        <f t="shared" si="5"/>
        <v>198</v>
      </c>
    </row>
    <row r="19" spans="2:10" ht="18">
      <c r="B19" s="27" t="s">
        <v>40</v>
      </c>
      <c r="C19" s="28" t="s">
        <v>41</v>
      </c>
      <c r="D19" s="29">
        <v>3.206</v>
      </c>
      <c r="E19" s="8">
        <f t="shared" si="5"/>
        <v>3.206</v>
      </c>
      <c r="F19" s="8">
        <f t="shared" si="5"/>
        <v>3.206</v>
      </c>
      <c r="G19" s="8">
        <f t="shared" si="5"/>
        <v>3.206</v>
      </c>
      <c r="H19" s="8">
        <f t="shared" si="5"/>
        <v>3.206</v>
      </c>
      <c r="I19" s="8">
        <f t="shared" si="5"/>
        <v>3.206</v>
      </c>
      <c r="J19" s="8">
        <f t="shared" si="5"/>
        <v>3.206</v>
      </c>
    </row>
    <row r="20" spans="2:10" ht="18">
      <c r="B20" s="27" t="s">
        <v>42</v>
      </c>
      <c r="C20" s="28" t="s">
        <v>41</v>
      </c>
      <c r="D20" s="29">
        <v>3.206</v>
      </c>
      <c r="E20" s="8">
        <f t="shared" si="5"/>
        <v>3.206</v>
      </c>
      <c r="F20" s="8">
        <f t="shared" si="5"/>
        <v>3.206</v>
      </c>
      <c r="G20" s="8">
        <f t="shared" si="5"/>
        <v>3.206</v>
      </c>
      <c r="H20" s="8">
        <f t="shared" si="5"/>
        <v>3.206</v>
      </c>
      <c r="I20" s="8">
        <f t="shared" si="5"/>
        <v>3.206</v>
      </c>
      <c r="J20" s="8">
        <f t="shared" si="5"/>
        <v>3.206</v>
      </c>
    </row>
    <row r="21" spans="2:10" ht="18">
      <c r="B21" s="27" t="s">
        <v>43</v>
      </c>
      <c r="C21" s="28"/>
      <c r="D21" s="29">
        <v>1</v>
      </c>
      <c r="E21" s="8">
        <f t="shared" si="5"/>
        <v>1</v>
      </c>
      <c r="F21" s="8">
        <f t="shared" si="5"/>
        <v>1</v>
      </c>
      <c r="G21" s="8">
        <f t="shared" si="5"/>
        <v>1</v>
      </c>
      <c r="H21" s="8">
        <f t="shared" si="5"/>
        <v>1</v>
      </c>
      <c r="I21" s="8">
        <f t="shared" si="5"/>
        <v>1</v>
      </c>
      <c r="J21" s="8">
        <f t="shared" si="5"/>
        <v>1</v>
      </c>
    </row>
    <row r="22" spans="2:10" ht="18">
      <c r="B22" s="27" t="s">
        <v>44</v>
      </c>
      <c r="C22" s="28"/>
      <c r="D22" s="29">
        <v>1</v>
      </c>
      <c r="E22" s="8">
        <f t="shared" si="5"/>
        <v>1</v>
      </c>
      <c r="F22" s="8">
        <f t="shared" si="5"/>
        <v>1</v>
      </c>
      <c r="G22" s="8">
        <f t="shared" si="5"/>
        <v>1</v>
      </c>
      <c r="H22" s="8">
        <f t="shared" si="5"/>
        <v>1</v>
      </c>
      <c r="I22" s="8">
        <f t="shared" si="5"/>
        <v>1</v>
      </c>
      <c r="J22" s="8">
        <f t="shared" si="5"/>
        <v>1</v>
      </c>
    </row>
    <row r="23" spans="2:10">
      <c r="B23" s="27" t="s">
        <v>45</v>
      </c>
      <c r="C23" s="28" t="s">
        <v>46</v>
      </c>
      <c r="D23" s="30" t="e">
        <f>(D19*D17*D15+D20*D18*D16)/(D21*D22*D10*D14)</f>
        <v>#DIV/0!</v>
      </c>
      <c r="E23" s="30" t="e">
        <f>(E19*E17*E15+E20*E18*E16)/(E21*E22*E10*E14)</f>
        <v>#DIV/0!</v>
      </c>
      <c r="F23" s="30" t="e">
        <f>(F19*F17*F15+F20*F18*F16)/(F21*F22*F10*F14)</f>
        <v>#DIV/0!</v>
      </c>
      <c r="G23" s="30" t="e">
        <f t="shared" ref="G23:J23" si="6">(G19*G17*G15+G20*G18*G16)/(G21*G22*G10*G14)</f>
        <v>#DIV/0!</v>
      </c>
      <c r="H23" s="30" t="e">
        <f t="shared" si="6"/>
        <v>#DIV/0!</v>
      </c>
      <c r="I23" s="30" t="e">
        <f t="shared" si="6"/>
        <v>#DIV/0!</v>
      </c>
      <c r="J23" s="30" t="e">
        <f t="shared" si="6"/>
        <v>#DIV/0!</v>
      </c>
    </row>
    <row r="24" spans="2:10" ht="18">
      <c r="B24" s="27" t="s">
        <v>2</v>
      </c>
      <c r="C24" s="28" t="s">
        <v>46</v>
      </c>
      <c r="D24" s="30">
        <f>$C$4*D9^(-$C$5)</f>
        <v>5.6169384514346374</v>
      </c>
      <c r="E24" s="30">
        <f t="shared" ref="E24:J26" si="7">D24</f>
        <v>5.6169384514346374</v>
      </c>
      <c r="F24" s="30">
        <f t="shared" si="7"/>
        <v>5.6169384514346374</v>
      </c>
      <c r="G24" s="30">
        <f t="shared" si="7"/>
        <v>5.6169384514346374</v>
      </c>
      <c r="H24" s="30">
        <f t="shared" si="7"/>
        <v>5.6169384514346374</v>
      </c>
      <c r="I24" s="30">
        <f t="shared" si="7"/>
        <v>5.6169384514346374</v>
      </c>
      <c r="J24" s="30">
        <f t="shared" si="7"/>
        <v>5.6169384514346374</v>
      </c>
    </row>
    <row r="25" spans="2:10">
      <c r="B25" s="27" t="s">
        <v>47</v>
      </c>
      <c r="C25" s="28"/>
      <c r="D25" s="31">
        <v>0.2</v>
      </c>
      <c r="E25" s="30">
        <f t="shared" si="7"/>
        <v>0.2</v>
      </c>
      <c r="F25" s="30">
        <f t="shared" si="7"/>
        <v>0.2</v>
      </c>
      <c r="G25" s="30">
        <f t="shared" si="7"/>
        <v>0.2</v>
      </c>
      <c r="H25" s="30">
        <f t="shared" si="7"/>
        <v>0.2</v>
      </c>
      <c r="I25" s="30">
        <f t="shared" si="7"/>
        <v>0.2</v>
      </c>
      <c r="J25" s="30">
        <f t="shared" si="7"/>
        <v>0.2</v>
      </c>
    </row>
    <row r="26" spans="2:10">
      <c r="B26" s="27" t="s">
        <v>48</v>
      </c>
      <c r="C26" s="28" t="s">
        <v>46</v>
      </c>
      <c r="D26" s="30">
        <f>D24*(1-D25)</f>
        <v>4.4935507611477101</v>
      </c>
      <c r="E26" s="30">
        <f t="shared" si="7"/>
        <v>4.4935507611477101</v>
      </c>
      <c r="F26" s="30">
        <f t="shared" si="7"/>
        <v>4.4935507611477101</v>
      </c>
      <c r="G26" s="30">
        <f t="shared" si="7"/>
        <v>4.4935507611477101</v>
      </c>
      <c r="H26" s="30">
        <f t="shared" si="7"/>
        <v>4.4935507611477101</v>
      </c>
      <c r="I26" s="30">
        <f t="shared" si="7"/>
        <v>4.4935507611477101</v>
      </c>
      <c r="J26" s="30">
        <f t="shared" si="7"/>
        <v>4.4935507611477101</v>
      </c>
    </row>
    <row r="27" spans="2:10">
      <c r="B27" s="11" t="s">
        <v>49</v>
      </c>
      <c r="C27" s="45"/>
      <c r="D27" s="30" t="e">
        <f>D23/D26</f>
        <v>#DIV/0!</v>
      </c>
      <c r="E27" s="30" t="e">
        <f>E23/E26</f>
        <v>#DIV/0!</v>
      </c>
      <c r="F27" s="30" t="e">
        <f t="shared" ref="F27:J27" si="8">F23/F26</f>
        <v>#DIV/0!</v>
      </c>
      <c r="G27" s="30" t="e">
        <f t="shared" si="8"/>
        <v>#DIV/0!</v>
      </c>
      <c r="H27" s="30" t="e">
        <f t="shared" si="8"/>
        <v>#DIV/0!</v>
      </c>
      <c r="I27" s="30" t="e">
        <f t="shared" si="8"/>
        <v>#DIV/0!</v>
      </c>
      <c r="J27" s="30" t="e">
        <f t="shared" si="8"/>
        <v>#DIV/0!</v>
      </c>
    </row>
    <row r="28" spans="2:10">
      <c r="B28" s="11" t="s">
        <v>50</v>
      </c>
      <c r="C28" s="45"/>
      <c r="D28" s="32" t="e">
        <f>IF(D23&lt;=D26,"Comply","Not Comply")</f>
        <v>#DIV/0!</v>
      </c>
      <c r="E28" s="32" t="e">
        <f t="shared" ref="E28:J28" si="9">IF(E23&lt;=E26,"Comply","Not Comply")</f>
        <v>#DIV/0!</v>
      </c>
      <c r="F28" s="32" t="e">
        <f t="shared" si="9"/>
        <v>#DIV/0!</v>
      </c>
      <c r="G28" s="32" t="e">
        <f t="shared" si="9"/>
        <v>#DIV/0!</v>
      </c>
      <c r="H28" s="32" t="e">
        <f t="shared" si="9"/>
        <v>#DIV/0!</v>
      </c>
      <c r="I28" s="32" t="e">
        <f t="shared" si="9"/>
        <v>#DIV/0!</v>
      </c>
      <c r="J28" s="32" t="e">
        <f t="shared" si="9"/>
        <v>#DIV/0!</v>
      </c>
    </row>
    <row r="29" spans="2:10">
      <c r="B29" s="2"/>
      <c r="C29" s="2"/>
      <c r="D29" s="2"/>
      <c r="E29" s="2"/>
      <c r="F29" s="2"/>
      <c r="G29" s="2"/>
      <c r="H29" s="2"/>
      <c r="I29" s="2"/>
      <c r="J29" s="2"/>
    </row>
    <row r="30" spans="2:10">
      <c r="B30" s="10" t="str">
        <f>B7</f>
        <v>Tanker</v>
      </c>
      <c r="C30" s="10" t="str">
        <f>C7</f>
        <v>MR</v>
      </c>
      <c r="D30" s="45" t="s">
        <v>11</v>
      </c>
      <c r="E30" s="45" t="s">
        <v>12</v>
      </c>
      <c r="F30" s="45" t="s">
        <v>12</v>
      </c>
      <c r="G30" s="45" t="s">
        <v>12</v>
      </c>
      <c r="H30" s="45" t="s">
        <v>12</v>
      </c>
      <c r="I30" s="45" t="s">
        <v>12</v>
      </c>
      <c r="J30" s="45" t="s">
        <v>12</v>
      </c>
    </row>
    <row r="31" spans="2:10">
      <c r="B31" s="11"/>
      <c r="C31" s="45" t="s">
        <v>13</v>
      </c>
      <c r="D31" s="12" t="s">
        <v>51</v>
      </c>
      <c r="E31" s="45" t="s">
        <v>15</v>
      </c>
      <c r="F31" s="45" t="s">
        <v>16</v>
      </c>
      <c r="G31" s="45" t="s">
        <v>17</v>
      </c>
      <c r="H31" s="45" t="s">
        <v>18</v>
      </c>
      <c r="I31" s="45" t="s">
        <v>19</v>
      </c>
      <c r="J31" s="45" t="s">
        <v>20</v>
      </c>
    </row>
    <row r="32" spans="2:10">
      <c r="B32" s="13" t="s">
        <v>21</v>
      </c>
      <c r="C32" s="14" t="s">
        <v>22</v>
      </c>
      <c r="D32" s="16">
        <f>D9</f>
        <v>61344</v>
      </c>
      <c r="E32" s="16">
        <f>D32</f>
        <v>61344</v>
      </c>
      <c r="F32" s="16">
        <f t="shared" ref="F32:J34" si="10">E32</f>
        <v>61344</v>
      </c>
      <c r="G32" s="16">
        <f t="shared" si="10"/>
        <v>61344</v>
      </c>
      <c r="H32" s="16">
        <f t="shared" si="10"/>
        <v>61344</v>
      </c>
      <c r="I32" s="16">
        <f t="shared" si="10"/>
        <v>61344</v>
      </c>
      <c r="J32" s="16">
        <f t="shared" si="10"/>
        <v>61344</v>
      </c>
    </row>
    <row r="33" spans="2:10">
      <c r="B33" s="11" t="s">
        <v>53</v>
      </c>
      <c r="C33" s="17" t="s">
        <v>25</v>
      </c>
      <c r="D33" s="18">
        <f>D10</f>
        <v>61344</v>
      </c>
      <c r="E33" s="18">
        <f>D33</f>
        <v>61344</v>
      </c>
      <c r="F33" s="18">
        <f t="shared" si="10"/>
        <v>61344</v>
      </c>
      <c r="G33" s="18">
        <f t="shared" si="10"/>
        <v>61344</v>
      </c>
      <c r="H33" s="18">
        <f t="shared" si="10"/>
        <v>61344</v>
      </c>
      <c r="I33" s="18">
        <f t="shared" si="10"/>
        <v>61344</v>
      </c>
      <c r="J33" s="18">
        <f t="shared" si="10"/>
        <v>61344</v>
      </c>
    </row>
    <row r="34" spans="2:10" ht="18">
      <c r="B34" s="11" t="s">
        <v>27</v>
      </c>
      <c r="C34" s="45" t="s">
        <v>28</v>
      </c>
      <c r="D34" s="18">
        <f>D11</f>
        <v>8322</v>
      </c>
      <c r="E34" s="20">
        <f>D34</f>
        <v>8322</v>
      </c>
      <c r="F34" s="20">
        <f t="shared" si="10"/>
        <v>8322</v>
      </c>
      <c r="G34" s="20">
        <f t="shared" si="10"/>
        <v>8322</v>
      </c>
      <c r="H34" s="20">
        <f t="shared" si="10"/>
        <v>8322</v>
      </c>
      <c r="I34" s="20">
        <f t="shared" si="10"/>
        <v>8322</v>
      </c>
      <c r="J34" s="20">
        <f t="shared" si="10"/>
        <v>8322</v>
      </c>
    </row>
    <row r="35" spans="2:10" ht="18">
      <c r="B35" s="11" t="s">
        <v>29</v>
      </c>
      <c r="C35" s="45" t="s">
        <v>28</v>
      </c>
      <c r="D35" s="21" t="s">
        <v>30</v>
      </c>
      <c r="E35" s="18">
        <f>E41/0.75</f>
        <v>7828.5425978207059</v>
      </c>
      <c r="F35" s="18">
        <f t="shared" ref="F35:J35" si="11">F41/0.75</f>
        <v>7776.0218554611502</v>
      </c>
      <c r="G35" s="18">
        <f t="shared" si="11"/>
        <v>7770.0766232973647</v>
      </c>
      <c r="H35" s="18">
        <f t="shared" si="11"/>
        <v>7769.3990535253806</v>
      </c>
      <c r="I35" s="18">
        <f t="shared" si="11"/>
        <v>7769.3217722803311</v>
      </c>
      <c r="J35" s="18">
        <f t="shared" si="11"/>
        <v>7769.3129570760684</v>
      </c>
    </row>
    <row r="36" spans="2:10" ht="18">
      <c r="B36" s="11" t="s">
        <v>31</v>
      </c>
      <c r="C36" s="45" t="s">
        <v>32</v>
      </c>
      <c r="D36" s="21" t="s">
        <v>30</v>
      </c>
      <c r="E36" s="18">
        <f>E41*1.15</f>
        <v>6752.1179906203579</v>
      </c>
      <c r="F36" s="18">
        <f t="shared" ref="F36:J36" si="12">F41*1.15</f>
        <v>6706.8188503352421</v>
      </c>
      <c r="G36" s="18">
        <f t="shared" si="12"/>
        <v>6701.6910875939766</v>
      </c>
      <c r="H36" s="18">
        <f t="shared" si="12"/>
        <v>6701.106683665641</v>
      </c>
      <c r="I36" s="18">
        <f t="shared" si="12"/>
        <v>6701.0400285917849</v>
      </c>
      <c r="J36" s="18">
        <f t="shared" si="12"/>
        <v>6701.0324254781081</v>
      </c>
    </row>
    <row r="37" spans="2:10" ht="18">
      <c r="B37" s="11" t="s">
        <v>54</v>
      </c>
      <c r="C37" s="45" t="s">
        <v>28</v>
      </c>
      <c r="D37" s="20">
        <f>IF(D34&gt;=10000,((D33*D50*D39/3.1144-215*250)/(190*0.75+215*0.025)),((D33*D50*D39)/(3.1144*(190*0.75+215*0.05))))</f>
        <v>10632.194626140332</v>
      </c>
      <c r="E37" s="21" t="s">
        <v>30</v>
      </c>
      <c r="F37" s="21" t="s">
        <v>30</v>
      </c>
      <c r="G37" s="21" t="s">
        <v>30</v>
      </c>
      <c r="H37" s="21" t="s">
        <v>30</v>
      </c>
      <c r="I37" s="21" t="s">
        <v>30</v>
      </c>
      <c r="J37" s="21" t="s">
        <v>30</v>
      </c>
    </row>
    <row r="38" spans="2:10" ht="18">
      <c r="B38" s="22" t="s">
        <v>55</v>
      </c>
      <c r="C38" s="23" t="s">
        <v>34</v>
      </c>
      <c r="D38" s="33">
        <f>(D39-D40)*(D34/D37)^(1/3)</f>
        <v>12.893908146017653</v>
      </c>
      <c r="E38" s="33">
        <f>D38*(E41/D41)^(1/3)</f>
        <v>12.633847817645208</v>
      </c>
      <c r="F38" s="33">
        <f t="shared" ref="F38:J38" si="13">E38*(F41/E41)^(1/3)</f>
        <v>12.60553141515236</v>
      </c>
      <c r="G38" s="33">
        <f t="shared" si="13"/>
        <v>12.602318036051999</v>
      </c>
      <c r="H38" s="33">
        <f t="shared" si="13"/>
        <v>12.60195170770502</v>
      </c>
      <c r="I38" s="33">
        <f t="shared" si="13"/>
        <v>12.601909924218274</v>
      </c>
      <c r="J38" s="33">
        <f t="shared" si="13"/>
        <v>12.601905158102889</v>
      </c>
    </row>
    <row r="39" spans="2:10" ht="18">
      <c r="B39" s="22" t="s">
        <v>56</v>
      </c>
      <c r="C39" s="23" t="s">
        <v>34</v>
      </c>
      <c r="D39" s="34">
        <f>E4*D32^E5</f>
        <v>14.727398407876271</v>
      </c>
      <c r="E39" s="35" t="s">
        <v>30</v>
      </c>
      <c r="F39" s="35" t="s">
        <v>30</v>
      </c>
      <c r="G39" s="35" t="s">
        <v>30</v>
      </c>
      <c r="H39" s="35" t="s">
        <v>30</v>
      </c>
      <c r="I39" s="35" t="s">
        <v>30</v>
      </c>
      <c r="J39" s="35" t="s">
        <v>30</v>
      </c>
    </row>
    <row r="40" spans="2:10">
      <c r="B40" s="22" t="s">
        <v>57</v>
      </c>
      <c r="C40" s="23" t="s">
        <v>34</v>
      </c>
      <c r="D40" s="33">
        <f>MIN(1,D39*0.05)</f>
        <v>0.73636992039381355</v>
      </c>
      <c r="E40" s="35" t="s">
        <v>30</v>
      </c>
      <c r="F40" s="35" t="s">
        <v>30</v>
      </c>
      <c r="G40" s="35" t="s">
        <v>30</v>
      </c>
      <c r="H40" s="35" t="s">
        <v>30</v>
      </c>
      <c r="I40" s="35" t="s">
        <v>30</v>
      </c>
      <c r="J40" s="35" t="s">
        <v>30</v>
      </c>
    </row>
    <row r="41" spans="2:10" ht="18">
      <c r="B41" s="11" t="s">
        <v>35</v>
      </c>
      <c r="C41" s="45" t="s">
        <v>28</v>
      </c>
      <c r="D41" s="18">
        <f>0.75*D34</f>
        <v>6241.5</v>
      </c>
      <c r="E41" s="18">
        <f>(0.9999*1/D53)^(3/2)*D41</f>
        <v>5871.4069483655294</v>
      </c>
      <c r="F41" s="18">
        <f t="shared" ref="F41:J41" si="14">(0.9999*1/E53)^(3/2)*E41</f>
        <v>5832.0163915958628</v>
      </c>
      <c r="G41" s="18">
        <f t="shared" si="14"/>
        <v>5827.5574674730233</v>
      </c>
      <c r="H41" s="18">
        <f t="shared" si="14"/>
        <v>5827.0492901440357</v>
      </c>
      <c r="I41" s="18">
        <f t="shared" si="14"/>
        <v>5826.9913292102483</v>
      </c>
      <c r="J41" s="18">
        <f t="shared" si="14"/>
        <v>5826.9847178070513</v>
      </c>
    </row>
    <row r="42" spans="2:10" ht="18">
      <c r="B42" s="11" t="s">
        <v>36</v>
      </c>
      <c r="C42" s="45" t="s">
        <v>28</v>
      </c>
      <c r="D42" s="18">
        <f>IF(D34&gt;=10000,0.025*D34+250,0.05*D34)</f>
        <v>416.1</v>
      </c>
      <c r="E42" s="18">
        <f t="shared" ref="E42:J48" si="15">D42</f>
        <v>416.1</v>
      </c>
      <c r="F42" s="18">
        <f t="shared" si="15"/>
        <v>416.1</v>
      </c>
      <c r="G42" s="18">
        <f t="shared" si="15"/>
        <v>416.1</v>
      </c>
      <c r="H42" s="18">
        <f t="shared" si="15"/>
        <v>416.1</v>
      </c>
      <c r="I42" s="18">
        <f t="shared" si="15"/>
        <v>416.1</v>
      </c>
      <c r="J42" s="18">
        <f t="shared" si="15"/>
        <v>416.1</v>
      </c>
    </row>
    <row r="43" spans="2:10" ht="18">
      <c r="B43" s="22" t="s">
        <v>37</v>
      </c>
      <c r="C43" s="23" t="s">
        <v>38</v>
      </c>
      <c r="D43" s="26">
        <f t="shared" ref="D43:D48" si="16">D17</f>
        <v>171.79</v>
      </c>
      <c r="E43" s="26">
        <f t="shared" si="15"/>
        <v>171.79</v>
      </c>
      <c r="F43" s="26">
        <f t="shared" si="15"/>
        <v>171.79</v>
      </c>
      <c r="G43" s="26">
        <f t="shared" si="15"/>
        <v>171.79</v>
      </c>
      <c r="H43" s="26">
        <f t="shared" si="15"/>
        <v>171.79</v>
      </c>
      <c r="I43" s="26">
        <f t="shared" si="15"/>
        <v>171.79</v>
      </c>
      <c r="J43" s="26">
        <f t="shared" si="15"/>
        <v>171.79</v>
      </c>
    </row>
    <row r="44" spans="2:10" ht="18">
      <c r="B44" s="22" t="s">
        <v>39</v>
      </c>
      <c r="C44" s="23" t="s">
        <v>38</v>
      </c>
      <c r="D44" s="26">
        <f t="shared" si="16"/>
        <v>198</v>
      </c>
      <c r="E44" s="26">
        <f t="shared" si="15"/>
        <v>198</v>
      </c>
      <c r="F44" s="26">
        <f t="shared" si="15"/>
        <v>198</v>
      </c>
      <c r="G44" s="26">
        <f t="shared" si="15"/>
        <v>198</v>
      </c>
      <c r="H44" s="26">
        <f t="shared" si="15"/>
        <v>198</v>
      </c>
      <c r="I44" s="26">
        <f t="shared" si="15"/>
        <v>198</v>
      </c>
      <c r="J44" s="26">
        <f t="shared" si="15"/>
        <v>198</v>
      </c>
    </row>
    <row r="45" spans="2:10" ht="18">
      <c r="B45" s="27" t="s">
        <v>40</v>
      </c>
      <c r="C45" s="28" t="s">
        <v>41</v>
      </c>
      <c r="D45" s="30">
        <f t="shared" si="16"/>
        <v>3.206</v>
      </c>
      <c r="E45" s="30">
        <f t="shared" si="15"/>
        <v>3.206</v>
      </c>
      <c r="F45" s="30">
        <f t="shared" si="15"/>
        <v>3.206</v>
      </c>
      <c r="G45" s="30">
        <f t="shared" si="15"/>
        <v>3.206</v>
      </c>
      <c r="H45" s="30">
        <f t="shared" si="15"/>
        <v>3.206</v>
      </c>
      <c r="I45" s="30">
        <f t="shared" si="15"/>
        <v>3.206</v>
      </c>
      <c r="J45" s="30">
        <f t="shared" si="15"/>
        <v>3.206</v>
      </c>
    </row>
    <row r="46" spans="2:10" ht="18">
      <c r="B46" s="27" t="s">
        <v>42</v>
      </c>
      <c r="C46" s="28" t="s">
        <v>41</v>
      </c>
      <c r="D46" s="30">
        <f t="shared" si="16"/>
        <v>3.206</v>
      </c>
      <c r="E46" s="30">
        <f t="shared" si="15"/>
        <v>3.206</v>
      </c>
      <c r="F46" s="30">
        <f t="shared" si="15"/>
        <v>3.206</v>
      </c>
      <c r="G46" s="30">
        <f t="shared" si="15"/>
        <v>3.206</v>
      </c>
      <c r="H46" s="30">
        <f t="shared" si="15"/>
        <v>3.206</v>
      </c>
      <c r="I46" s="30">
        <f t="shared" si="15"/>
        <v>3.206</v>
      </c>
      <c r="J46" s="30">
        <f t="shared" si="15"/>
        <v>3.206</v>
      </c>
    </row>
    <row r="47" spans="2:10" ht="18">
      <c r="B47" s="27" t="s">
        <v>43</v>
      </c>
      <c r="C47" s="28"/>
      <c r="D47" s="30">
        <f t="shared" si="16"/>
        <v>1</v>
      </c>
      <c r="E47" s="30">
        <f t="shared" si="15"/>
        <v>1</v>
      </c>
      <c r="F47" s="30">
        <f t="shared" si="15"/>
        <v>1</v>
      </c>
      <c r="G47" s="30">
        <f t="shared" si="15"/>
        <v>1</v>
      </c>
      <c r="H47" s="30">
        <f t="shared" si="15"/>
        <v>1</v>
      </c>
      <c r="I47" s="30">
        <f t="shared" si="15"/>
        <v>1</v>
      </c>
      <c r="J47" s="30">
        <f t="shared" si="15"/>
        <v>1</v>
      </c>
    </row>
    <row r="48" spans="2:10" ht="18">
      <c r="B48" s="27" t="s">
        <v>44</v>
      </c>
      <c r="C48" s="28"/>
      <c r="D48" s="30">
        <f t="shared" si="16"/>
        <v>1</v>
      </c>
      <c r="E48" s="30">
        <f t="shared" si="15"/>
        <v>1</v>
      </c>
      <c r="F48" s="30">
        <f t="shared" si="15"/>
        <v>1</v>
      </c>
      <c r="G48" s="30">
        <f t="shared" si="15"/>
        <v>1</v>
      </c>
      <c r="H48" s="30">
        <f t="shared" si="15"/>
        <v>1</v>
      </c>
      <c r="I48" s="30">
        <f t="shared" si="15"/>
        <v>1</v>
      </c>
      <c r="J48" s="30">
        <f t="shared" si="15"/>
        <v>1</v>
      </c>
    </row>
    <row r="49" spans="2:10">
      <c r="B49" s="27" t="s">
        <v>45</v>
      </c>
      <c r="C49" s="28" t="s">
        <v>46</v>
      </c>
      <c r="D49" s="30">
        <f>(D45*D43*D41+D46*D44*D42)/(D47*D48*D33*D38)</f>
        <v>4.6799809149096046</v>
      </c>
      <c r="E49" s="30">
        <f>(E45*E43*E41+E46*E44*E42)/(E47*E48*E33*E38)</f>
        <v>4.5133102117662505</v>
      </c>
      <c r="F49" s="30">
        <f t="shared" ref="F49:J49" si="17">(F45*F43*F41+F46*F44*F42)/(F47*F48*F33*F38)</f>
        <v>4.4953930287462791</v>
      </c>
      <c r="G49" s="30">
        <f t="shared" si="17"/>
        <v>4.4933626313757848</v>
      </c>
      <c r="H49" s="30">
        <f t="shared" si="17"/>
        <v>4.4931312011987483</v>
      </c>
      <c r="I49" s="30">
        <f t="shared" si="17"/>
        <v>4.4931048047075191</v>
      </c>
      <c r="J49" s="30">
        <f t="shared" si="17"/>
        <v>4.4931017937462405</v>
      </c>
    </row>
    <row r="50" spans="2:10" ht="18">
      <c r="B50" s="27" t="s">
        <v>2</v>
      </c>
      <c r="C50" s="28" t="s">
        <v>46</v>
      </c>
      <c r="D50" s="30">
        <f>$C$4*(D32)^(-$C$5)</f>
        <v>5.6169384514346374</v>
      </c>
      <c r="E50" s="30">
        <f>D50</f>
        <v>5.6169384514346374</v>
      </c>
      <c r="F50" s="30">
        <f t="shared" ref="F50:J52" si="18">E50</f>
        <v>5.6169384514346374</v>
      </c>
      <c r="G50" s="30">
        <f t="shared" si="18"/>
        <v>5.6169384514346374</v>
      </c>
      <c r="H50" s="30">
        <f t="shared" si="18"/>
        <v>5.6169384514346374</v>
      </c>
      <c r="I50" s="30">
        <f t="shared" si="18"/>
        <v>5.6169384514346374</v>
      </c>
      <c r="J50" s="30">
        <f t="shared" si="18"/>
        <v>5.6169384514346374</v>
      </c>
    </row>
    <row r="51" spans="2:10">
      <c r="B51" s="27" t="s">
        <v>47</v>
      </c>
      <c r="C51" s="28"/>
      <c r="D51" s="30">
        <f>D25</f>
        <v>0.2</v>
      </c>
      <c r="E51" s="30">
        <f t="shared" ref="E51:E52" si="19">D51</f>
        <v>0.2</v>
      </c>
      <c r="F51" s="30">
        <f t="shared" si="18"/>
        <v>0.2</v>
      </c>
      <c r="G51" s="30">
        <f t="shared" si="18"/>
        <v>0.2</v>
      </c>
      <c r="H51" s="30">
        <f t="shared" si="18"/>
        <v>0.2</v>
      </c>
      <c r="I51" s="30">
        <f t="shared" si="18"/>
        <v>0.2</v>
      </c>
      <c r="J51" s="30">
        <f t="shared" si="18"/>
        <v>0.2</v>
      </c>
    </row>
    <row r="52" spans="2:10">
      <c r="B52" s="27" t="s">
        <v>48</v>
      </c>
      <c r="C52" s="28" t="s">
        <v>46</v>
      </c>
      <c r="D52" s="30">
        <f>D50*(1-D51)</f>
        <v>4.4935507611477101</v>
      </c>
      <c r="E52" s="30">
        <f t="shared" si="19"/>
        <v>4.4935507611477101</v>
      </c>
      <c r="F52" s="30">
        <f t="shared" si="18"/>
        <v>4.4935507611477101</v>
      </c>
      <c r="G52" s="30">
        <f t="shared" si="18"/>
        <v>4.4935507611477101</v>
      </c>
      <c r="H52" s="30">
        <f t="shared" si="18"/>
        <v>4.4935507611477101</v>
      </c>
      <c r="I52" s="30">
        <f t="shared" si="18"/>
        <v>4.4935507611477101</v>
      </c>
      <c r="J52" s="30">
        <f t="shared" si="18"/>
        <v>4.4935507611477101</v>
      </c>
    </row>
    <row r="53" spans="2:10">
      <c r="B53" s="11" t="s">
        <v>49</v>
      </c>
      <c r="C53" s="45"/>
      <c r="D53" s="30">
        <f>D49/D52</f>
        <v>1.0414883827225927</v>
      </c>
      <c r="E53" s="30">
        <f>E49/E52</f>
        <v>1.0043972910664292</v>
      </c>
      <c r="F53" s="30">
        <f t="shared" ref="F53:J53" si="20">F49/F52</f>
        <v>1.0004099803688651</v>
      </c>
      <c r="G53" s="30">
        <f t="shared" si="20"/>
        <v>0.99995813338227935</v>
      </c>
      <c r="H53" s="30">
        <f t="shared" si="20"/>
        <v>0.99990663064216623</v>
      </c>
      <c r="I53" s="30">
        <f t="shared" si="20"/>
        <v>0.99990075633638176</v>
      </c>
      <c r="J53" s="30">
        <f t="shared" si="20"/>
        <v>0.9999000862735653</v>
      </c>
    </row>
    <row r="54" spans="2:10">
      <c r="B54" s="11" t="s">
        <v>50</v>
      </c>
      <c r="C54" s="11"/>
      <c r="D54" s="32" t="str">
        <f t="shared" ref="D54:J54" si="21">IF(D49&lt;=D52,"Comply","Not Comply")</f>
        <v>Not Comply</v>
      </c>
      <c r="E54" s="32" t="str">
        <f t="shared" si="21"/>
        <v>Not Comply</v>
      </c>
      <c r="F54" s="32" t="str">
        <f t="shared" si="21"/>
        <v>Not Comply</v>
      </c>
      <c r="G54" s="32" t="str">
        <f t="shared" si="21"/>
        <v>Comply</v>
      </c>
      <c r="H54" s="32" t="str">
        <f t="shared" si="21"/>
        <v>Comply</v>
      </c>
      <c r="I54" s="32" t="str">
        <f t="shared" si="21"/>
        <v>Comply</v>
      </c>
      <c r="J54" s="32" t="str">
        <f t="shared" si="21"/>
        <v>Comply</v>
      </c>
    </row>
  </sheetData>
  <mergeCells count="4">
    <mergeCell ref="B2:E2"/>
    <mergeCell ref="B3:C3"/>
    <mergeCell ref="D3:E3"/>
    <mergeCell ref="L4:L5"/>
  </mergeCells>
  <printOptions gridLines="1" gridLinesSet="0"/>
  <pageMargins left="0.75" right="0.75" top="1" bottom="1" header="0.5" footer="0.27"/>
  <pageSetup paperSize="9" orientation="portrait" r:id="rId1"/>
  <headerFooter alignWithMargins="0">
    <oddHeader>&amp;A</oddHeader>
    <oddFooter>&amp;L&amp;8s:\DR\2000.1\Techni-Excel-EEXI-calculator-INTE.XLSX&amp;R&amp;8&amp;D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3"/>
  <sheetViews>
    <sheetView workbookViewId="0">
      <selection activeCell="A17" sqref="A17"/>
    </sheetView>
  </sheetViews>
  <sheetFormatPr defaultColWidth="8.7109375" defaultRowHeight="12.75"/>
  <cols>
    <col min="1" max="1" width="167.85546875" style="42" customWidth="1"/>
    <col min="2" max="16384" width="8.7109375" style="42"/>
  </cols>
  <sheetData>
    <row r="1" spans="1:1" ht="12" customHeight="1"/>
    <row r="2" spans="1:1" ht="12" customHeight="1">
      <c r="A2" s="43" t="s">
        <v>115</v>
      </c>
    </row>
    <row r="3" spans="1:1" ht="12" customHeight="1">
      <c r="A3" s="43"/>
    </row>
    <row r="4" spans="1:1" ht="12" customHeight="1">
      <c r="A4" s="44" t="s">
        <v>119</v>
      </c>
    </row>
    <row r="5" spans="1:1" ht="12" customHeight="1">
      <c r="A5" s="44" t="s">
        <v>120</v>
      </c>
    </row>
    <row r="6" spans="1:1" ht="12" customHeight="1">
      <c r="A6" s="44" t="s">
        <v>122</v>
      </c>
    </row>
    <row r="7" spans="1:1" ht="34.5" customHeight="1">
      <c r="A7" s="44" t="s">
        <v>116</v>
      </c>
    </row>
    <row r="8" spans="1:1" ht="21" customHeight="1">
      <c r="A8" s="44" t="s">
        <v>117</v>
      </c>
    </row>
    <row r="9" spans="1:1" ht="20.45" customHeight="1">
      <c r="A9" s="44" t="s">
        <v>118</v>
      </c>
    </row>
    <row r="10" spans="1:1" ht="29.1" customHeight="1">
      <c r="A10" s="44" t="s">
        <v>121</v>
      </c>
    </row>
    <row r="11" spans="1:1" ht="12" customHeight="1">
      <c r="A11" s="43"/>
    </row>
    <row r="12" spans="1:1" ht="21.95" customHeight="1">
      <c r="A12" s="43" t="s">
        <v>125</v>
      </c>
    </row>
    <row r="13" spans="1:1" ht="21.6" customHeight="1">
      <c r="A13" s="43" t="s">
        <v>124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6"/>
  <sheetViews>
    <sheetView workbookViewId="0">
      <selection activeCell="G22" sqref="G22"/>
    </sheetView>
  </sheetViews>
  <sheetFormatPr defaultRowHeight="12.75"/>
  <cols>
    <col min="1" max="1" width="19.42578125" customWidth="1"/>
    <col min="2" max="2" width="16.85546875" customWidth="1"/>
    <col min="3" max="3" width="60.5703125" customWidth="1"/>
    <col min="4" max="4" width="41" customWidth="1"/>
  </cols>
  <sheetData>
    <row r="1" spans="1:4" ht="15">
      <c r="A1" s="36" t="s">
        <v>99</v>
      </c>
      <c r="B1" s="52" t="s">
        <v>13</v>
      </c>
      <c r="C1" s="54" t="s">
        <v>65</v>
      </c>
      <c r="D1" s="56"/>
    </row>
    <row r="2" spans="1:4" ht="18.75" thickBot="1">
      <c r="A2" s="41" t="s">
        <v>101</v>
      </c>
      <c r="B2" s="53"/>
      <c r="C2" s="55"/>
      <c r="D2" s="57"/>
    </row>
    <row r="3" spans="1:4" ht="15.75" thickBot="1">
      <c r="A3" s="37" t="s">
        <v>66</v>
      </c>
      <c r="B3" s="38" t="s">
        <v>67</v>
      </c>
      <c r="C3" s="39" t="s">
        <v>68</v>
      </c>
      <c r="D3" s="39"/>
    </row>
    <row r="4" spans="1:4" ht="15.75" thickBot="1">
      <c r="A4" s="37" t="s">
        <v>53</v>
      </c>
      <c r="B4" s="38" t="s">
        <v>69</v>
      </c>
      <c r="C4" s="39" t="s">
        <v>70</v>
      </c>
      <c r="D4" s="39"/>
    </row>
    <row r="5" spans="1:4" ht="18.75" thickBot="1">
      <c r="A5" s="37" t="s">
        <v>71</v>
      </c>
      <c r="B5" s="38" t="s">
        <v>28</v>
      </c>
      <c r="C5" s="39" t="s">
        <v>68</v>
      </c>
      <c r="D5" s="39"/>
    </row>
    <row r="6" spans="1:4" ht="21.6" customHeight="1" thickBot="1">
      <c r="A6" s="37" t="s">
        <v>72</v>
      </c>
      <c r="B6" s="38" t="s">
        <v>28</v>
      </c>
      <c r="C6" s="39" t="s">
        <v>73</v>
      </c>
      <c r="D6" s="39" t="s">
        <v>74</v>
      </c>
    </row>
    <row r="7" spans="1:4" ht="23.1" customHeight="1" thickBot="1">
      <c r="A7" s="37" t="s">
        <v>75</v>
      </c>
      <c r="B7" s="38" t="s">
        <v>28</v>
      </c>
      <c r="C7" s="39" t="s">
        <v>76</v>
      </c>
      <c r="D7" s="39" t="s">
        <v>77</v>
      </c>
    </row>
    <row r="8" spans="1:4" ht="20.45" customHeight="1" thickBot="1">
      <c r="A8" s="37" t="s">
        <v>78</v>
      </c>
      <c r="B8" s="38" t="s">
        <v>34</v>
      </c>
      <c r="C8" s="39" t="s">
        <v>79</v>
      </c>
      <c r="D8" s="39"/>
    </row>
    <row r="9" spans="1:4" ht="24.6" customHeight="1" thickBot="1">
      <c r="A9" s="37" t="s">
        <v>80</v>
      </c>
      <c r="B9" s="38" t="s">
        <v>28</v>
      </c>
      <c r="C9" s="39" t="s">
        <v>81</v>
      </c>
      <c r="D9" s="39" t="s">
        <v>82</v>
      </c>
    </row>
    <row r="10" spans="1:4" ht="18.75" thickBot="1">
      <c r="A10" s="37" t="s">
        <v>83</v>
      </c>
      <c r="B10" s="38" t="s">
        <v>28</v>
      </c>
      <c r="C10" s="39" t="s">
        <v>68</v>
      </c>
      <c r="D10" s="39"/>
    </row>
    <row r="11" spans="1:4" ht="18.600000000000001" customHeight="1" thickBot="1">
      <c r="A11" s="37" t="s">
        <v>84</v>
      </c>
      <c r="B11" s="38" t="s">
        <v>38</v>
      </c>
      <c r="C11" s="39" t="s">
        <v>85</v>
      </c>
      <c r="D11" s="39"/>
    </row>
    <row r="12" spans="1:4" ht="20.45" customHeight="1" thickBot="1">
      <c r="A12" s="37" t="s">
        <v>86</v>
      </c>
      <c r="B12" s="38" t="s">
        <v>38</v>
      </c>
      <c r="C12" s="39" t="s">
        <v>87</v>
      </c>
      <c r="D12" s="39"/>
    </row>
    <row r="13" spans="1:4" ht="19.5" customHeight="1" thickBot="1">
      <c r="A13" s="37" t="s">
        <v>88</v>
      </c>
      <c r="B13" s="38" t="s">
        <v>41</v>
      </c>
      <c r="C13" s="39" t="s">
        <v>89</v>
      </c>
      <c r="D13" s="39"/>
    </row>
    <row r="14" spans="1:4" ht="23.1" customHeight="1" thickBot="1">
      <c r="A14" s="37" t="s">
        <v>90</v>
      </c>
      <c r="B14" s="38" t="s">
        <v>41</v>
      </c>
      <c r="C14" s="39" t="s">
        <v>89</v>
      </c>
      <c r="D14" s="39"/>
    </row>
    <row r="15" spans="1:4" ht="18.75" thickBot="1">
      <c r="A15" s="37" t="s">
        <v>91</v>
      </c>
      <c r="B15" s="40"/>
      <c r="C15" s="39" t="s">
        <v>92</v>
      </c>
      <c r="D15" s="39"/>
    </row>
    <row r="16" spans="1:4" ht="18.75" thickBot="1">
      <c r="A16" s="37" t="s">
        <v>93</v>
      </c>
      <c r="B16" s="40"/>
      <c r="C16" s="39" t="s">
        <v>92</v>
      </c>
      <c r="D16" s="39"/>
    </row>
    <row r="17" spans="1:4" ht="38.450000000000003" customHeight="1" thickBot="1">
      <c r="A17" s="37" t="s">
        <v>45</v>
      </c>
      <c r="B17" s="38" t="s">
        <v>94</v>
      </c>
      <c r="C17" s="39" t="s">
        <v>95</v>
      </c>
      <c r="D17" s="39"/>
    </row>
    <row r="18" spans="1:4" ht="24" customHeight="1" thickBot="1">
      <c r="A18" s="37" t="s">
        <v>96</v>
      </c>
      <c r="B18" s="38" t="s">
        <v>94</v>
      </c>
      <c r="C18" s="39" t="s">
        <v>97</v>
      </c>
      <c r="D18" s="39"/>
    </row>
    <row r="19" spans="1:4" ht="15.75" thickBot="1">
      <c r="A19" s="37" t="s">
        <v>47</v>
      </c>
      <c r="B19" s="40"/>
      <c r="C19" s="39">
        <v>0.2</v>
      </c>
      <c r="D19" s="39"/>
    </row>
    <row r="20" spans="1:4" ht="21.95" customHeight="1" thickBot="1">
      <c r="A20" s="37" t="s">
        <v>48</v>
      </c>
      <c r="B20" s="38" t="s">
        <v>94</v>
      </c>
      <c r="C20" s="39" t="s">
        <v>123</v>
      </c>
      <c r="D20" s="39"/>
    </row>
    <row r="21" spans="1:4" ht="26.45" customHeight="1" thickBot="1">
      <c r="A21" s="37" t="s">
        <v>49</v>
      </c>
      <c r="B21" s="38"/>
      <c r="C21" s="39" t="s">
        <v>98</v>
      </c>
      <c r="D21" s="39"/>
    </row>
    <row r="23" spans="1:4" ht="13.5" thickBot="1"/>
    <row r="24" spans="1:4" ht="15">
      <c r="A24" s="36" t="s">
        <v>104</v>
      </c>
      <c r="B24" s="52" t="s">
        <v>13</v>
      </c>
      <c r="C24" s="54"/>
      <c r="D24" s="54"/>
    </row>
    <row r="25" spans="1:4" ht="18.75" thickBot="1">
      <c r="A25" s="41" t="s">
        <v>100</v>
      </c>
      <c r="B25" s="53"/>
      <c r="C25" s="55"/>
      <c r="D25" s="55"/>
    </row>
    <row r="26" spans="1:4" ht="15.75" thickBot="1">
      <c r="A26" s="37" t="s">
        <v>66</v>
      </c>
      <c r="B26" s="38" t="s">
        <v>67</v>
      </c>
      <c r="C26" s="39" t="s">
        <v>68</v>
      </c>
      <c r="D26" s="39"/>
    </row>
    <row r="27" spans="1:4" ht="15.75" thickBot="1">
      <c r="A27" s="37" t="s">
        <v>53</v>
      </c>
      <c r="B27" s="38" t="s">
        <v>69</v>
      </c>
      <c r="C27" s="39" t="s">
        <v>70</v>
      </c>
      <c r="D27" s="39"/>
    </row>
    <row r="28" spans="1:4" ht="18.75" thickBot="1">
      <c r="A28" s="37" t="s">
        <v>71</v>
      </c>
      <c r="B28" s="38" t="s">
        <v>28</v>
      </c>
      <c r="C28" s="39" t="s">
        <v>68</v>
      </c>
      <c r="D28" s="39"/>
    </row>
    <row r="29" spans="1:4" ht="18.75" thickBot="1">
      <c r="A29" s="37" t="s">
        <v>72</v>
      </c>
      <c r="B29" s="38" t="s">
        <v>28</v>
      </c>
      <c r="C29" s="39" t="s">
        <v>73</v>
      </c>
      <c r="D29" s="39" t="s">
        <v>74</v>
      </c>
    </row>
    <row r="30" spans="1:4" ht="18.75" thickBot="1">
      <c r="A30" s="37" t="s">
        <v>75</v>
      </c>
      <c r="B30" s="38" t="s">
        <v>28</v>
      </c>
      <c r="C30" s="39" t="s">
        <v>76</v>
      </c>
      <c r="D30" s="39" t="s">
        <v>77</v>
      </c>
    </row>
    <row r="31" spans="1:4" ht="33.75" thickBot="1">
      <c r="A31" s="37" t="s">
        <v>105</v>
      </c>
      <c r="B31" s="38" t="s">
        <v>28</v>
      </c>
      <c r="C31" s="39" t="s">
        <v>106</v>
      </c>
      <c r="D31" s="39"/>
    </row>
    <row r="32" spans="1:4" ht="19.5" thickBot="1">
      <c r="A32" s="37" t="s">
        <v>102</v>
      </c>
      <c r="B32" s="38" t="s">
        <v>107</v>
      </c>
      <c r="C32" s="39" t="s">
        <v>108</v>
      </c>
      <c r="D32" s="39"/>
    </row>
    <row r="33" spans="1:4" ht="18.75" thickBot="1">
      <c r="A33" s="37" t="s">
        <v>103</v>
      </c>
      <c r="B33" s="38" t="s">
        <v>34</v>
      </c>
      <c r="C33" s="39" t="s">
        <v>109</v>
      </c>
      <c r="D33" s="39"/>
    </row>
    <row r="34" spans="1:4" ht="18.75" thickBot="1">
      <c r="A34" s="37" t="s">
        <v>57</v>
      </c>
      <c r="B34" s="38" t="s">
        <v>34</v>
      </c>
      <c r="C34" s="39" t="s">
        <v>110</v>
      </c>
      <c r="D34" s="39"/>
    </row>
    <row r="35" spans="1:4" ht="18.75" thickBot="1">
      <c r="A35" s="37" t="s">
        <v>80</v>
      </c>
      <c r="B35" s="38" t="s">
        <v>28</v>
      </c>
      <c r="C35" s="39" t="s">
        <v>81</v>
      </c>
      <c r="D35" s="39" t="s">
        <v>82</v>
      </c>
    </row>
    <row r="36" spans="1:4" ht="18.75" thickBot="1">
      <c r="A36" s="37" t="s">
        <v>83</v>
      </c>
      <c r="B36" s="38" t="s">
        <v>28</v>
      </c>
      <c r="C36" s="39" t="s">
        <v>111</v>
      </c>
      <c r="D36" s="39"/>
    </row>
    <row r="37" spans="1:4" ht="18.75" thickBot="1">
      <c r="A37" s="37" t="s">
        <v>84</v>
      </c>
      <c r="B37" s="38" t="s">
        <v>38</v>
      </c>
      <c r="C37" s="39" t="s">
        <v>85</v>
      </c>
      <c r="D37" s="39"/>
    </row>
    <row r="38" spans="1:4" ht="18.75" thickBot="1">
      <c r="A38" s="37" t="s">
        <v>86</v>
      </c>
      <c r="B38" s="38" t="s">
        <v>38</v>
      </c>
      <c r="C38" s="39" t="s">
        <v>87</v>
      </c>
      <c r="D38" s="39"/>
    </row>
    <row r="39" spans="1:4" ht="18.75" thickBot="1">
      <c r="A39" s="37" t="s">
        <v>88</v>
      </c>
      <c r="B39" s="38" t="s">
        <v>112</v>
      </c>
      <c r="C39" s="39" t="s">
        <v>89</v>
      </c>
      <c r="D39" s="39"/>
    </row>
    <row r="40" spans="1:4" ht="18.75" thickBot="1">
      <c r="A40" s="37" t="s">
        <v>90</v>
      </c>
      <c r="B40" s="38" t="s">
        <v>112</v>
      </c>
      <c r="C40" s="39" t="s">
        <v>89</v>
      </c>
      <c r="D40" s="39"/>
    </row>
    <row r="41" spans="1:4" ht="18.75" thickBot="1">
      <c r="A41" s="37" t="s">
        <v>91</v>
      </c>
      <c r="B41" s="38"/>
      <c r="C41" s="39" t="s">
        <v>113</v>
      </c>
      <c r="D41" s="39"/>
    </row>
    <row r="42" spans="1:4" ht="18.75" thickBot="1">
      <c r="A42" s="37" t="s">
        <v>93</v>
      </c>
      <c r="B42" s="38"/>
      <c r="C42" s="39" t="s">
        <v>114</v>
      </c>
      <c r="D42" s="39"/>
    </row>
    <row r="43" spans="1:4" ht="18.75" thickBot="1">
      <c r="A43" s="37" t="s">
        <v>45</v>
      </c>
      <c r="B43" s="38" t="s">
        <v>94</v>
      </c>
      <c r="C43" s="39" t="s">
        <v>95</v>
      </c>
      <c r="D43" s="39"/>
    </row>
    <row r="44" spans="1:4" ht="18.75" thickBot="1">
      <c r="A44" s="37" t="s">
        <v>96</v>
      </c>
      <c r="B44" s="38" t="s">
        <v>94</v>
      </c>
      <c r="C44" s="39" t="s">
        <v>97</v>
      </c>
      <c r="D44" s="39"/>
    </row>
    <row r="45" spans="1:4" ht="15.75" thickBot="1">
      <c r="A45" s="37" t="s">
        <v>47</v>
      </c>
      <c r="B45" s="38"/>
      <c r="C45" s="39">
        <v>0.2</v>
      </c>
      <c r="D45" s="39"/>
    </row>
    <row r="46" spans="1:4" ht="18.75" thickBot="1">
      <c r="A46" s="37" t="s">
        <v>48</v>
      </c>
      <c r="B46" s="38" t="s">
        <v>94</v>
      </c>
      <c r="C46" s="39" t="s">
        <v>123</v>
      </c>
      <c r="D46" s="39"/>
    </row>
  </sheetData>
  <mergeCells count="6">
    <mergeCell ref="B24:B25"/>
    <mergeCell ref="C24:C25"/>
    <mergeCell ref="D24:D25"/>
    <mergeCell ref="B1:B2"/>
    <mergeCell ref="C1:C2"/>
    <mergeCell ref="D1:D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Dubai Angel</vt:lpstr>
      <vt:lpstr>Dubai Sun</vt:lpstr>
      <vt:lpstr>GUIDANCE</vt:lpstr>
      <vt:lpstr>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exceltemplate</dc:title>
  <dc:creator>Erik Ranheim</dc:creator>
  <cp:lastModifiedBy>Capt. Farooq Rumane</cp:lastModifiedBy>
  <cp:lastPrinted>2000-01-14T09:55:57Z</cp:lastPrinted>
  <dcterms:created xsi:type="dcterms:W3CDTF">2011-04-12T09:02:35Z</dcterms:created>
  <dcterms:modified xsi:type="dcterms:W3CDTF">2021-10-19T07:42:53Z</dcterms:modified>
</cp:coreProperties>
</file>